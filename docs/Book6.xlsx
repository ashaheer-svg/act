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8_{7BABACCD-4E71-4117-9D79-D61BB73C442D}" xr6:coauthVersionLast="47" xr6:coauthVersionMax="47" xr10:uidLastSave="{00000000-0000-0000-0000-000000000000}"/>
  <bookViews>
    <workbookView xWindow="-108" yWindow="-108" windowWidth="23256" windowHeight="12456" activeTab="1" xr2:uid="{1B414651-D821-4303-B894-106E0507D817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Sheet1!#REF!,Sheet1!$1:$1</definedName>
    <definedName name="QB_COLUMN_1" localSheetId="1" hidden="1">Sheet1!#REF!</definedName>
    <definedName name="QB_COLUMN_110" localSheetId="1" hidden="1">Sheet1!$H$1</definedName>
    <definedName name="QB_COLUMN_119" localSheetId="1" hidden="1">Sheet1!#REF!</definedName>
    <definedName name="QB_COLUMN_14" localSheetId="1" hidden="1">Sheet1!$E$1</definedName>
    <definedName name="QB_COLUMN_15" localSheetId="1" hidden="1">Sheet1!#REF!</definedName>
    <definedName name="QB_COLUMN_16" localSheetId="1" hidden="1">Sheet1!$F$1</definedName>
    <definedName name="QB_COLUMN_17" localSheetId="1" hidden="1">Sheet1!#REF!</definedName>
    <definedName name="QB_COLUMN_18" localSheetId="1" hidden="1">Sheet1!$G$1</definedName>
    <definedName name="QB_COLUMN_19" localSheetId="1" hidden="1">Sheet1!#REF!</definedName>
    <definedName name="QB_COLUMN_20" localSheetId="1" hidden="1">Sheet1!#REF!</definedName>
    <definedName name="QB_COLUMN_26" localSheetId="1" hidden="1">Sheet1!$I$1</definedName>
    <definedName name="QB_COLUMN_27" localSheetId="1" hidden="1">Sheet1!$J$1</definedName>
    <definedName name="QB_COLUMN_3" localSheetId="1" hidden="1">Sheet1!$A$1</definedName>
    <definedName name="QB_COLUMN_30" localSheetId="1" hidden="1">Sheet1!$K$1</definedName>
    <definedName name="QB_COLUMN_31" localSheetId="1" hidden="1">Sheet1!#REF!</definedName>
    <definedName name="QB_COLUMN_4" localSheetId="1" hidden="1">Sheet1!$B$1</definedName>
    <definedName name="QB_COLUMN_5" localSheetId="1" hidden="1">Sheet1!$C$1</definedName>
    <definedName name="QB_COLUMN_7" localSheetId="1" hidden="1">Sheet1!$D$1</definedName>
    <definedName name="QB_COLUMN_8" localSheetId="1" hidden="1">Sheet1!#REF!</definedName>
    <definedName name="QB_DATA_0" localSheetId="1" hidden="1">Sheet1!$2:$2,Sheet1!$3:$3,Sheet1!$4:$4,Sheet1!$5:$5,Sheet1!$6:$6,Sheet1!$7:$7,Sheet1!$8:$8,Sheet1!$9:$9,Sheet1!$10:$10,Sheet1!$11:$11,Sheet1!$12:$12,Sheet1!$13:$13,Sheet1!$14:$14,Sheet1!$15:$15,Sheet1!$16:$16,Sheet1!$17:$17</definedName>
    <definedName name="QB_DATA_1" localSheetId="1" hidden="1">Sheet1!$18:$18,Sheet1!$19:$19,Sheet1!$20:$20,Sheet1!$21:$21,Sheet1!$22:$22,Sheet1!$23:$23,Sheet1!$24:$24,Sheet1!$25:$25,Sheet1!$26:$26,Sheet1!$27:$27,Sheet1!$28:$28,Sheet1!$29:$29,Sheet1!$30:$30,Sheet1!$31:$31,Sheet1!$32:$32,Sheet1!$33:$33</definedName>
    <definedName name="QB_DATA_10" localSheetId="1" hidden="1">Sheet1!$162:$162,Sheet1!$163:$163,Sheet1!$164:$164,Sheet1!$165:$165,Sheet1!$166:$166,Sheet1!$167:$167,Sheet1!$168:$168,Sheet1!$169:$169,Sheet1!$170:$170,Sheet1!$171:$171,Sheet1!$172:$172,Sheet1!$173:$173,Sheet1!$174:$174,Sheet1!$175:$175,Sheet1!$176:$176,Sheet1!$177:$177</definedName>
    <definedName name="QB_DATA_11" localSheetId="1" hidden="1">Sheet1!$178:$178,Sheet1!$179:$179,Sheet1!$180:$180,Sheet1!$181:$181,Sheet1!$182:$182,Sheet1!$183:$183,Sheet1!$184:$184,Sheet1!$185:$185,Sheet1!$186:$186,Sheet1!$187:$187,Sheet1!$188:$188,Sheet1!$189:$189,Sheet1!$190:$190,Sheet1!$191:$191,Sheet1!$192:$192,Sheet1!$193:$193</definedName>
    <definedName name="QB_DATA_12" localSheetId="1" hidden="1">Sheet1!$194:$194,Sheet1!$195:$195,Sheet1!$196:$196,Sheet1!$197:$197,Sheet1!$198:$198,Sheet1!$199:$199,Sheet1!$200:$200,Sheet1!$201:$201,Sheet1!$202:$202,Sheet1!$203:$203,Sheet1!$204:$204,Sheet1!$205:$205,Sheet1!$206:$206,Sheet1!$207:$207,Sheet1!$208:$208,Sheet1!$209:$209</definedName>
    <definedName name="QB_DATA_13" localSheetId="1" hidden="1">Sheet1!$210:$210,Sheet1!$211:$211,Sheet1!$212:$212,Sheet1!$213:$213,Sheet1!$214:$214,Sheet1!$215:$215,Sheet1!$216:$216,Sheet1!$217:$217,Sheet1!$218:$218,Sheet1!$219:$219,Sheet1!$220:$220,Sheet1!$221:$221,Sheet1!$222:$222,Sheet1!$223:$223,Sheet1!$224:$224,Sheet1!$225:$225</definedName>
    <definedName name="QB_DATA_14" localSheetId="1" hidden="1">Sheet1!$226:$226,Sheet1!$227:$227,Sheet1!$228:$228,Sheet1!$229:$229,Sheet1!$230:$230,Sheet1!$231:$231,Sheet1!$232:$232,Sheet1!$233:$233,Sheet1!$234:$234,Sheet1!$235:$235,Sheet1!$236:$236,Sheet1!$237:$237,Sheet1!$238:$238,Sheet1!$239:$239,Sheet1!$240:$240,Sheet1!$241:$241</definedName>
    <definedName name="QB_DATA_15" localSheetId="1" hidden="1">Sheet1!$242:$242,Sheet1!$243:$243,Sheet1!$244:$244,Sheet1!$245:$245,Sheet1!$246:$246,Sheet1!$247:$247,Sheet1!$248:$248,Sheet1!$249:$249,Sheet1!$250:$250,Sheet1!$251:$251,Sheet1!$252:$252,Sheet1!$253:$253,Sheet1!$254:$254,Sheet1!$255:$255,Sheet1!$256:$256,Sheet1!$257:$257</definedName>
    <definedName name="QB_DATA_16" localSheetId="1" hidden="1">Sheet1!$258:$258,Sheet1!$259:$259,Sheet1!$260:$260,Sheet1!$261:$261,Sheet1!$262:$262,Sheet1!$263:$263,Sheet1!$264:$264,Sheet1!$265:$265,Sheet1!$266:$266,Sheet1!$267:$267,Sheet1!$268:$268,Sheet1!$269:$269,Sheet1!$270:$270,Sheet1!$271:$271,Sheet1!$272:$272,Sheet1!$273:$273</definedName>
    <definedName name="QB_DATA_17" localSheetId="1" hidden="1">Sheet1!$274:$274,Sheet1!$275:$275,Sheet1!$276:$276,Sheet1!$277:$277,Sheet1!$278:$278,Sheet1!$279:$279,Sheet1!$280:$280,Sheet1!$281:$281,Sheet1!$282:$282,Sheet1!$283:$283,Sheet1!$284:$284,Sheet1!$285:$285,Sheet1!$286:$286,Sheet1!$287:$287,Sheet1!$288:$288,Sheet1!$289:$289</definedName>
    <definedName name="QB_DATA_18" localSheetId="1" hidden="1">Sheet1!$290:$290,Sheet1!$291:$291,Sheet1!$292:$292,Sheet1!$293:$293,Sheet1!$294:$294,Sheet1!$295:$295,Sheet1!$296:$296,Sheet1!$297:$297,Sheet1!$298:$298,Sheet1!$299:$299,Sheet1!$300:$300,Sheet1!$301:$301,Sheet1!$302:$302,Sheet1!$303:$303,Sheet1!$304:$304,Sheet1!$305:$305</definedName>
    <definedName name="QB_DATA_19" localSheetId="1" hidden="1">Sheet1!$306:$306,Sheet1!$307:$307,Sheet1!$308:$308,Sheet1!$309:$309,Sheet1!$310:$310,Sheet1!$311:$311,Sheet1!$312:$312,Sheet1!$313:$313,Sheet1!$314:$314,Sheet1!$315:$315,Sheet1!$316:$316,Sheet1!$317:$317,Sheet1!$318:$318,Sheet1!$319:$319,Sheet1!$320:$320,Sheet1!$321:$321</definedName>
    <definedName name="QB_DATA_2" localSheetId="1" hidden="1">Sheet1!$34:$34,Sheet1!$35:$35,Sheet1!$36:$36,Sheet1!$37:$37,Sheet1!$38:$38,Sheet1!$39:$39,Sheet1!$40:$40,Sheet1!$41:$41,Sheet1!$42:$42,Sheet1!$43:$43,Sheet1!$44:$44,Sheet1!$45:$45,Sheet1!$46:$46,Sheet1!$47:$47,Sheet1!$48:$48,Sheet1!$49:$49</definedName>
    <definedName name="QB_DATA_20" localSheetId="1" hidden="1">Sheet1!$322:$322,Sheet1!$323:$323,Sheet1!$324:$324,Sheet1!$325:$325,Sheet1!$326:$326,Sheet1!$327:$327,Sheet1!$328:$328,Sheet1!$329:$329,Sheet1!$330:$330,Sheet1!$331:$331,Sheet1!$332:$332,Sheet1!$333:$333,Sheet1!$334:$334,Sheet1!$335:$335,Sheet1!$336:$336,Sheet1!$337:$337</definedName>
    <definedName name="QB_DATA_21" localSheetId="1" hidden="1">Sheet1!$338:$338,Sheet1!$339:$339,Sheet1!$340:$340,Sheet1!$341:$341,Sheet1!$342:$342,Sheet1!$343:$343,Sheet1!$344:$344,Sheet1!$345:$345,Sheet1!$346:$346,Sheet1!$347:$347,Sheet1!$348:$348,Sheet1!$349:$349,Sheet1!$350:$350,Sheet1!$351:$351,Sheet1!$352:$352,Sheet1!$353:$353</definedName>
    <definedName name="QB_DATA_22" localSheetId="1" hidden="1">Sheet1!$354:$354,Sheet1!$355:$355,Sheet1!$356:$356,Sheet1!$357:$357,Sheet1!$358:$358,Sheet1!$359:$359,Sheet1!$360:$360,Sheet1!$361:$361,Sheet1!$362:$362,Sheet1!$363:$363,Sheet1!$364:$364,Sheet1!$365:$365,Sheet1!$366:$366,Sheet1!$367:$367,Sheet1!$368:$368,Sheet1!$369:$369</definedName>
    <definedName name="QB_DATA_23" localSheetId="1" hidden="1">Sheet1!$370:$370,Sheet1!$371:$371,Sheet1!$372:$372,Sheet1!$373:$373,Sheet1!$374:$374,Sheet1!$375:$375,Sheet1!$376:$376,Sheet1!$377:$377,Sheet1!$378:$378,Sheet1!$379:$379,Sheet1!$380:$380,Sheet1!$381:$381,Sheet1!$382:$382,Sheet1!$383:$383,Sheet1!$384:$384,Sheet1!$385:$385</definedName>
    <definedName name="QB_DATA_24" localSheetId="1" hidden="1">Sheet1!$386:$386,Sheet1!$387:$387,Sheet1!$388:$388,Sheet1!$389:$389,Sheet1!$390:$390,Sheet1!$391:$391,Sheet1!$392:$392,Sheet1!$393:$393,Sheet1!$394:$394,Sheet1!$395:$395,Sheet1!$396:$396,Sheet1!$397:$397,Sheet1!$398:$398,Sheet1!$399:$399,Sheet1!$400:$400,Sheet1!$401:$401</definedName>
    <definedName name="QB_DATA_25" localSheetId="1" hidden="1">Sheet1!$402:$402,Sheet1!$403:$403,Sheet1!$404:$404,Sheet1!$405:$405,Sheet1!$406:$406,Sheet1!$407:$407,Sheet1!$408:$408,Sheet1!$409:$409,Sheet1!$410:$410,Sheet1!$411:$411,Sheet1!$412:$412,Sheet1!$413:$413,Sheet1!$414:$414,Sheet1!$415:$415,Sheet1!$416:$416,Sheet1!$417:$417</definedName>
    <definedName name="QB_DATA_26" localSheetId="1" hidden="1">Sheet1!$418:$418,Sheet1!$419:$419,Sheet1!$420:$420,Sheet1!$421:$421,Sheet1!$422:$422,Sheet1!$423:$423,Sheet1!$424:$424,Sheet1!$425:$425,Sheet1!$426:$426,Sheet1!$427:$427,Sheet1!$428:$428,Sheet1!$429:$429,Sheet1!$430:$430,Sheet1!$431:$431,Sheet1!$432:$432,Sheet1!$433:$433</definedName>
    <definedName name="QB_DATA_27" localSheetId="1" hidden="1">Sheet1!$434:$434,Sheet1!$435:$435,Sheet1!$436:$436,Sheet1!$437:$437,Sheet1!$438:$438,Sheet1!$439:$439,Sheet1!$440:$440,Sheet1!$441:$441,Sheet1!$442:$442,Sheet1!$443:$443,Sheet1!$444:$444,Sheet1!$445:$445,Sheet1!$446:$446,Sheet1!$447:$447,Sheet1!$448:$448,Sheet1!$449:$449</definedName>
    <definedName name="QB_DATA_28" localSheetId="1" hidden="1">Sheet1!$450:$450,Sheet1!$451:$451,Sheet1!$452:$452,Sheet1!$453:$453,Sheet1!$454:$454,Sheet1!$455:$455,Sheet1!$456:$456,Sheet1!$457:$457,Sheet1!$458:$458,Sheet1!$459:$459,Sheet1!$460:$460,Sheet1!$461:$461,Sheet1!$462:$462,Sheet1!$463:$463,Sheet1!$464:$464,Sheet1!$465:$465</definedName>
    <definedName name="QB_DATA_29" localSheetId="1" hidden="1">Sheet1!$466:$466,Sheet1!$467:$467,Sheet1!$468:$468,Sheet1!$469:$469,Sheet1!$470:$470,Sheet1!$471:$471,Sheet1!$472:$472,Sheet1!$473:$473,Sheet1!$474:$474,Sheet1!$475:$475,Sheet1!$476:$476,Sheet1!$477:$477,Sheet1!$478:$478,Sheet1!$479:$479,Sheet1!$480:$480,Sheet1!$481:$481</definedName>
    <definedName name="QB_DATA_3" localSheetId="1" hidden="1">Sheet1!$50:$50,Sheet1!$51:$51,Sheet1!$52:$52,Sheet1!$53:$53,Sheet1!$54:$54,Sheet1!$55:$55,Sheet1!$56:$56,Sheet1!$57:$57,Sheet1!$58:$58,Sheet1!$59:$59,Sheet1!$60:$60,Sheet1!$61:$61,Sheet1!$62:$62,Sheet1!$63:$63,Sheet1!$64:$64,Sheet1!$65:$65</definedName>
    <definedName name="QB_DATA_30" localSheetId="1" hidden="1">Sheet1!$482:$482,Sheet1!$483:$483,Sheet1!$484:$484,Sheet1!$485:$485,Sheet1!$486:$486,Sheet1!$487:$487,Sheet1!$488:$488,Sheet1!$489:$489,Sheet1!$490:$490,Sheet1!$491:$491,Sheet1!$492:$492,Sheet1!$493:$493,Sheet1!$494:$494,Sheet1!$495:$495,Sheet1!$496:$496,Sheet1!$497:$497</definedName>
    <definedName name="QB_DATA_31" localSheetId="1" hidden="1">Sheet1!$498:$498,Sheet1!$499:$499,Sheet1!$500:$500,Sheet1!$501:$501,Sheet1!$502:$502,Sheet1!$503:$503,Sheet1!$504:$504,Sheet1!$505:$505,Sheet1!$506:$506,Sheet1!$507:$507,Sheet1!$508:$508,Sheet1!$509:$509,Sheet1!$510:$510,Sheet1!$511:$511,Sheet1!$512:$512,Sheet1!$513:$513</definedName>
    <definedName name="QB_DATA_32" localSheetId="1" hidden="1">Sheet1!$514:$514,Sheet1!$515:$515,Sheet1!$516:$516,Sheet1!$517:$517,Sheet1!$518:$518,Sheet1!$519:$519,Sheet1!$520:$520,Sheet1!$521:$521,Sheet1!$522:$522,Sheet1!$523:$523,Sheet1!$524:$524,Sheet1!$525:$525,Sheet1!$526:$526,Sheet1!$527:$527,Sheet1!$528:$528,Sheet1!$529:$529</definedName>
    <definedName name="QB_DATA_33" localSheetId="1" hidden="1">Sheet1!$530:$530,Sheet1!$531:$531,Sheet1!$532:$532,Sheet1!$533:$533,Sheet1!$534:$534,Sheet1!$535:$535,Sheet1!$536:$536,Sheet1!$537:$537,Sheet1!$538:$538,Sheet1!$539:$539,Sheet1!$540:$540,Sheet1!$541:$541,Sheet1!$542:$542,Sheet1!$543:$543,Sheet1!$544:$544,Sheet1!$545:$545</definedName>
    <definedName name="QB_DATA_34" localSheetId="1" hidden="1">Sheet1!$546:$546,Sheet1!$547:$547,Sheet1!$548:$548,Sheet1!$549:$549,Sheet1!$550:$550,Sheet1!$551:$551,Sheet1!$552:$552,Sheet1!$553:$553,Sheet1!$554:$554,Sheet1!$555:$555,Sheet1!$556:$556,Sheet1!$557:$557,Sheet1!$558:$558,Sheet1!$559:$559,Sheet1!$560:$560,Sheet1!$561:$561</definedName>
    <definedName name="QB_DATA_35" localSheetId="1" hidden="1">Sheet1!$562:$562,Sheet1!$563:$563,Sheet1!$564:$564,Sheet1!$565:$565,Sheet1!$566:$566,Sheet1!$567:$567,Sheet1!$568:$568,Sheet1!$569:$569,Sheet1!$570:$570,Sheet1!$571:$571,Sheet1!$572:$572,Sheet1!$573:$573,Sheet1!$574:$574,Sheet1!$575:$575,Sheet1!$576:$576,Sheet1!$577:$577</definedName>
    <definedName name="QB_DATA_36" localSheetId="1" hidden="1">Sheet1!$578:$578,Sheet1!$579:$579,Sheet1!$580:$580,Sheet1!$581:$581,Sheet1!$582:$582,Sheet1!$583:$583,Sheet1!$584:$584,Sheet1!$585:$585,Sheet1!$586:$586,Sheet1!$587:$587,Sheet1!$588:$588,Sheet1!$589:$589,Sheet1!$590:$590,Sheet1!$591:$591,Sheet1!$592:$592,Sheet1!$593:$593</definedName>
    <definedName name="QB_DATA_37" localSheetId="1" hidden="1">Sheet1!$594:$594,Sheet1!$595:$595,Sheet1!$596:$596,Sheet1!$597:$597,Sheet1!$598:$598,Sheet1!$599:$599,Sheet1!$600:$600,Sheet1!$601:$601,Sheet1!$602:$602,Sheet1!$603:$603,Sheet1!$604:$604,Sheet1!$605:$605,Sheet1!$606:$606,Sheet1!$607:$607,Sheet1!$608:$608,Sheet1!$609:$609</definedName>
    <definedName name="QB_DATA_38" localSheetId="1" hidden="1">Sheet1!$610:$610,Sheet1!$611:$611,Sheet1!$612:$612,Sheet1!$613:$613,Sheet1!$614:$614,Sheet1!$615:$615,Sheet1!$616:$616,Sheet1!$617:$617,Sheet1!$618:$618,Sheet1!$619:$619,Sheet1!$620:$620,Sheet1!$621:$621,Sheet1!$622:$622,Sheet1!$623:$623,Sheet1!$624:$624,Sheet1!$625:$625</definedName>
    <definedName name="QB_DATA_39" localSheetId="1" hidden="1">Sheet1!$626:$626,Sheet1!$627:$627,Sheet1!$628:$628,Sheet1!$629:$629,Sheet1!$630:$630,Sheet1!$631:$631,Sheet1!$632:$632,Sheet1!$633:$633,Sheet1!$634:$634,Sheet1!$635:$635,Sheet1!$636:$636,Sheet1!$637:$637,Sheet1!$638:$638,Sheet1!$639:$639,Sheet1!$640:$640,Sheet1!$641:$641</definedName>
    <definedName name="QB_DATA_4" localSheetId="1" hidden="1">Sheet1!$66:$66,Sheet1!$67:$67,Sheet1!$68:$68,Sheet1!$69:$69,Sheet1!$70:$70,Sheet1!$71:$71,Sheet1!$72:$72,Sheet1!$73:$73,Sheet1!$74:$74,Sheet1!$75:$75,Sheet1!$76:$76,Sheet1!$77:$77,Sheet1!$78:$78,Sheet1!$79:$79,Sheet1!$80:$80,Sheet1!$81:$81</definedName>
    <definedName name="QB_DATA_40" localSheetId="1" hidden="1">Sheet1!$642:$642,Sheet1!$643:$643,Sheet1!$644:$644,Sheet1!$645:$645,Sheet1!$646:$646,Sheet1!$647:$647,Sheet1!$648:$648,Sheet1!$649:$649,Sheet1!$650:$650,Sheet1!$651:$651,Sheet1!$652:$652,Sheet1!$653:$653,Sheet1!$654:$654,Sheet1!$655:$655,Sheet1!$656:$656,Sheet1!$657:$657</definedName>
    <definedName name="QB_DATA_41" localSheetId="1" hidden="1">Sheet1!$658:$658,Sheet1!$659:$659,Sheet1!$660:$660,Sheet1!$661:$661,Sheet1!$662:$662,Sheet1!$663:$663,Sheet1!$664:$664,Sheet1!$665:$665,Sheet1!$666:$666,Sheet1!$667:$667,Sheet1!$668:$668,Sheet1!$669:$669,Sheet1!$670:$670,Sheet1!$671:$671,Sheet1!$672:$672,Sheet1!$673:$673</definedName>
    <definedName name="QB_DATA_42" localSheetId="1" hidden="1">Sheet1!$674:$674,Sheet1!$675:$675,Sheet1!$676:$676,Sheet1!$677:$677,Sheet1!$678:$678,Sheet1!$679:$679,Sheet1!$680:$680,Sheet1!$681:$681,Sheet1!$682:$682,Sheet1!$683:$683,Sheet1!$684:$684,Sheet1!$685:$685,Sheet1!$686:$686,Sheet1!$687:$687,Sheet1!$688:$688,Sheet1!$689:$689</definedName>
    <definedName name="QB_DATA_43" localSheetId="1" hidden="1">Sheet1!$690:$690,Sheet1!$691:$691,Sheet1!$692:$692,Sheet1!$693:$693,Sheet1!$694:$694,Sheet1!$695:$695,Sheet1!$696:$696,Sheet1!$697:$697,Sheet1!$698:$698,Sheet1!$699:$699,Sheet1!$700:$700,Sheet1!$701:$701,Sheet1!$702:$702,Sheet1!$703:$703,Sheet1!$704:$704,Sheet1!$705:$705</definedName>
    <definedName name="QB_DATA_44" localSheetId="1" hidden="1">Sheet1!$706:$706,Sheet1!$707:$707,Sheet1!$708:$708,Sheet1!$709:$709,Sheet1!$710:$710,Sheet1!$711:$711,Sheet1!$712:$712,Sheet1!$713:$713,Sheet1!$714:$714,Sheet1!$715:$715,Sheet1!$716:$716,Sheet1!$717:$717,Sheet1!$718:$718,Sheet1!$719:$719,Sheet1!$720:$720,Sheet1!$721:$721</definedName>
    <definedName name="QB_DATA_45" localSheetId="1" hidden="1">Sheet1!$722:$722,Sheet1!$723:$723,Sheet1!$724:$724,Sheet1!$725:$725,Sheet1!$726:$726,Sheet1!$727:$727,Sheet1!$728:$728,Sheet1!$729:$729,Sheet1!$730:$730,Sheet1!$731:$731,Sheet1!$732:$732,Sheet1!$733:$733,Sheet1!$734:$734,Sheet1!$735:$735,Sheet1!$736:$736,Sheet1!$737:$737</definedName>
    <definedName name="QB_DATA_46" localSheetId="1" hidden="1">Sheet1!$738:$738,Sheet1!$739:$739,Sheet1!$740:$740,Sheet1!$741:$741,Sheet1!$742:$742,Sheet1!$743:$743,Sheet1!$744:$744,Sheet1!$745:$745,Sheet1!$746:$746,Sheet1!$747:$747,Sheet1!$748:$748,Sheet1!$749:$749,Sheet1!$750:$750,Sheet1!$751:$751,Sheet1!$752:$752,Sheet1!$753:$753</definedName>
    <definedName name="QB_DATA_47" localSheetId="1" hidden="1">Sheet1!$754:$754,Sheet1!$755:$755,Sheet1!$756:$756,Sheet1!$757:$757,Sheet1!$758:$758,Sheet1!$759:$759,Sheet1!$760:$760,Sheet1!$761:$761,Sheet1!$762:$762,Sheet1!$763:$763,Sheet1!$764:$764,Sheet1!$765:$765,Sheet1!$766:$766,Sheet1!$767:$767,Sheet1!$768:$768,Sheet1!$769:$769</definedName>
    <definedName name="QB_DATA_48" localSheetId="1" hidden="1">Sheet1!$770:$770,Sheet1!$771:$771,Sheet1!$772:$772,Sheet1!$773:$773,Sheet1!$774:$774,Sheet1!$775:$775,Sheet1!$776:$776,Sheet1!$777:$777,Sheet1!$778:$778,Sheet1!$779:$779,Sheet1!$780:$780,Sheet1!$781:$781,Sheet1!$782:$782,Sheet1!$783:$783,Sheet1!$784:$784,Sheet1!$785:$785</definedName>
    <definedName name="QB_DATA_49" localSheetId="1" hidden="1">Sheet1!$786:$786,Sheet1!$787:$787,Sheet1!$788:$788,Sheet1!$789:$789,Sheet1!$790:$790,Sheet1!$791:$791,Sheet1!$792:$792,Sheet1!$793:$793,Sheet1!$794:$794,Sheet1!$795:$795,Sheet1!$796:$796,Sheet1!$797:$797,Sheet1!$798:$798,Sheet1!$799:$799,Sheet1!$800:$800,Sheet1!$801:$801</definedName>
    <definedName name="QB_DATA_5" localSheetId="1" hidden="1">Sheet1!$82:$82,Sheet1!$83:$83,Sheet1!$84:$84,Sheet1!$85:$85,Sheet1!$86:$86,Sheet1!$87:$87,Sheet1!$88:$88,Sheet1!$89:$89,Sheet1!$90:$90,Sheet1!$91:$91,Sheet1!$92:$92,Sheet1!$93:$93,Sheet1!$94:$94,Sheet1!$95:$95,Sheet1!$96:$96,Sheet1!$97:$97</definedName>
    <definedName name="QB_DATA_50" localSheetId="1" hidden="1">Sheet1!$802:$802,Sheet1!$803:$803,Sheet1!$804:$804,Sheet1!$805:$805,Sheet1!$806:$806,Sheet1!$807:$807,Sheet1!$808:$808,Sheet1!$809:$809,Sheet1!$810:$810,Sheet1!$811:$811,Sheet1!$812:$812,Sheet1!$813:$813,Sheet1!$814:$814,Sheet1!$815:$815,Sheet1!$816:$816,Sheet1!$817:$817</definedName>
    <definedName name="QB_DATA_51" localSheetId="1" hidden="1">Sheet1!$818:$818,Sheet1!$819:$819,Sheet1!$820:$820,Sheet1!$821:$821,Sheet1!$822:$822,Sheet1!$823:$823,Sheet1!$824:$824,Sheet1!$825:$825,Sheet1!$826:$826,Sheet1!$827:$827,Sheet1!$828:$828,Sheet1!$829:$829,Sheet1!$830:$830,Sheet1!$831:$831,Sheet1!$832:$832,Sheet1!$833:$833</definedName>
    <definedName name="QB_DATA_52" localSheetId="1" hidden="1">Sheet1!$834:$834,Sheet1!$835:$835,Sheet1!$836:$836,Sheet1!$837:$837,Sheet1!$838:$838,Sheet1!$839:$839,Sheet1!$840:$840,Sheet1!$841:$841,Sheet1!$842:$842,Sheet1!$843:$843,Sheet1!$844:$844,Sheet1!$845:$845,Sheet1!$846:$846,Sheet1!$847:$847,Sheet1!$848:$848,Sheet1!$849:$849</definedName>
    <definedName name="QB_DATA_53" localSheetId="1" hidden="1">Sheet1!$850:$850,Sheet1!$851:$851,Sheet1!$852:$852,Sheet1!$853:$853,Sheet1!$854:$854,Sheet1!$855:$855,Sheet1!$856:$856,Sheet1!$857:$857,Sheet1!$858:$858,Sheet1!$859:$859,Sheet1!$860:$860,Sheet1!$861:$861,Sheet1!$862:$862,Sheet1!$863:$863,Sheet1!$864:$864,Sheet1!$865:$865</definedName>
    <definedName name="QB_DATA_54" localSheetId="1" hidden="1">Sheet1!$866:$866,Sheet1!$867:$867,Sheet1!$868:$868,Sheet1!$869:$869,Sheet1!$870:$870,Sheet1!$871:$871,Sheet1!$872:$872,Sheet1!$873:$873,Sheet1!$874:$874,Sheet1!$875:$875,Sheet1!$876:$876,Sheet1!$877:$877,Sheet1!$878:$878,Sheet1!$879:$879,Sheet1!$880:$880,Sheet1!$881:$881</definedName>
    <definedName name="QB_DATA_55" localSheetId="1" hidden="1">Sheet1!$882:$882,Sheet1!$883:$883,Sheet1!$884:$884,Sheet1!$885:$885,Sheet1!$886:$886,Sheet1!$887:$887,Sheet1!$888:$888,Sheet1!$889:$889,Sheet1!$890:$890,Sheet1!$891:$891,Sheet1!$892:$892,Sheet1!$893:$893,Sheet1!$894:$894,Sheet1!$895:$895,Sheet1!$896:$896,Sheet1!$897:$897</definedName>
    <definedName name="QB_DATA_56" localSheetId="1" hidden="1">Sheet1!$898:$898,Sheet1!$899:$899,Sheet1!$900:$900,Sheet1!$901:$901,Sheet1!$902:$902,Sheet1!$903:$903,Sheet1!$904:$904,Sheet1!$905:$905,Sheet1!$906:$906,Sheet1!$907:$907,Sheet1!$908:$908,Sheet1!$909:$909,Sheet1!$910:$910,Sheet1!$911:$911,Sheet1!$912:$912,Sheet1!$913:$913</definedName>
    <definedName name="QB_DATA_57" localSheetId="1" hidden="1">Sheet1!$914:$914,Sheet1!$915:$915,Sheet1!$916:$916,Sheet1!$917:$917,Sheet1!$918:$918,Sheet1!$919:$919,Sheet1!$920:$920,Sheet1!$921:$921,Sheet1!$922:$922,Sheet1!$923:$923,Sheet1!$924:$924,Sheet1!$925:$925,Sheet1!$926:$926,Sheet1!$927:$927,Sheet1!$928:$928,Sheet1!$929:$929</definedName>
    <definedName name="QB_DATA_58" localSheetId="1" hidden="1">Sheet1!$930:$930,Sheet1!$931:$931,Sheet1!$932:$932,Sheet1!$933:$933,Sheet1!$934:$934,Sheet1!$935:$935,Sheet1!$936:$936,Sheet1!$937:$937,Sheet1!$938:$938,Sheet1!$939:$939,Sheet1!$940:$940,Sheet1!$941:$941,Sheet1!$942:$942,Sheet1!$943:$943,Sheet1!$944:$944,Sheet1!$945:$945</definedName>
    <definedName name="QB_DATA_59" localSheetId="1" hidden="1">Sheet1!$946:$946,Sheet1!$947:$947,Sheet1!$948:$948,Sheet1!$949:$949,Sheet1!$950:$950,Sheet1!$951:$951,Sheet1!$952:$952,Sheet1!$953:$953,Sheet1!$954:$954,Sheet1!$955:$955,Sheet1!$956:$956,Sheet1!$957:$957,Sheet1!$958:$958,Sheet1!$959:$959,Sheet1!$960:$960,Sheet1!$961:$961</definedName>
    <definedName name="QB_DATA_6" localSheetId="1" hidden="1">Sheet1!$98:$98,Sheet1!$99:$99,Sheet1!$100:$100,Sheet1!$101:$101,Sheet1!$102:$102,Sheet1!$103:$103,Sheet1!$104:$104,Sheet1!$105:$105,Sheet1!$106:$106,Sheet1!$107:$107,Sheet1!$108:$108,Sheet1!$109:$109,Sheet1!$110:$110,Sheet1!$111:$111,Sheet1!$112:$112,Sheet1!$113:$113</definedName>
    <definedName name="QB_DATA_60" localSheetId="1" hidden="1">Sheet1!$962:$962,Sheet1!$963:$963,Sheet1!$964:$964,Sheet1!$965:$965,Sheet1!$966:$966,Sheet1!$967:$967,Sheet1!$968:$968,Sheet1!$969:$969,Sheet1!$970:$970,Sheet1!$971:$971,Sheet1!$972:$972,Sheet1!$973:$973,Sheet1!$974:$974,Sheet1!$975:$975,Sheet1!$976:$976,Sheet1!$977:$977</definedName>
    <definedName name="QB_DATA_61" localSheetId="1" hidden="1">Sheet1!$978:$978,Sheet1!$979:$979,Sheet1!$980:$980,Sheet1!$981:$981,Sheet1!$982:$982,Sheet1!$983:$983,Sheet1!$984:$984</definedName>
    <definedName name="QB_DATA_7" localSheetId="1" hidden="1">Sheet1!$114:$114,Sheet1!$115:$115,Sheet1!$116:$116,Sheet1!$117:$117,Sheet1!$118:$118,Sheet1!$119:$119,Sheet1!$120:$120,Sheet1!$121:$121,Sheet1!$122:$122,Sheet1!$123:$123,Sheet1!$124:$124,Sheet1!$125:$125,Sheet1!$126:$126,Sheet1!$127:$127,Sheet1!$128:$128,Sheet1!$129:$129</definedName>
    <definedName name="QB_DATA_8" localSheetId="1" hidden="1">Sheet1!$130:$130,Sheet1!$131:$131,Sheet1!$132:$132,Sheet1!$133:$133,Sheet1!$134:$134,Sheet1!$135:$135,Sheet1!$136:$136,Sheet1!$137:$137,Sheet1!$138:$138,Sheet1!$139:$139,Sheet1!$140:$140,Sheet1!$141:$141,Sheet1!$142:$142,Sheet1!$143:$143,Sheet1!$144:$144,Sheet1!$145:$145</definedName>
    <definedName name="QB_DATA_9" localSheetId="1" hidden="1">Sheet1!$146:$146,Sheet1!$147:$147,Sheet1!$148:$148,Sheet1!$149:$149,Sheet1!$150:$150,Sheet1!$151:$151,Sheet1!$152:$152,Sheet1!$153:$153,Sheet1!$154:$154,Sheet1!$155:$155,Sheet1!$156:$156,Sheet1!$157:$157,Sheet1!$158:$158,Sheet1!$159:$159,Sheet1!$160:$160,Sheet1!$161:$161</definedName>
    <definedName name="QB_FORMULA_0" localSheetId="1" hidden="1">Sheet1!$K$2,Sheet1!#REF!,Sheet1!$K$3,Sheet1!#REF!,Sheet1!$K$4,Sheet1!#REF!,Sheet1!$K$5,Sheet1!#REF!,Sheet1!$K$6,Sheet1!#REF!,Sheet1!$K$7,Sheet1!#REF!,Sheet1!$K$8,Sheet1!#REF!,Sheet1!$K$9,Sheet1!#REF!</definedName>
    <definedName name="QB_FORMULA_1" localSheetId="1" hidden="1">Sheet1!$K$10,Sheet1!#REF!,Sheet1!$K$11,Sheet1!#REF!,Sheet1!$K$12,Sheet1!#REF!,Sheet1!$K$13,Sheet1!#REF!,Sheet1!$K$14,Sheet1!#REF!,Sheet1!$K$15,Sheet1!#REF!,Sheet1!$K$16,Sheet1!#REF!,Sheet1!$K$17,Sheet1!#REF!</definedName>
    <definedName name="QB_FORMULA_10" localSheetId="1" hidden="1">Sheet1!$K$87,Sheet1!#REF!,Sheet1!$K$88,Sheet1!#REF!,Sheet1!$K$89,Sheet1!#REF!,Sheet1!$K$90,Sheet1!#REF!,Sheet1!$K$91,Sheet1!#REF!,Sheet1!$K$92,Sheet1!#REF!,Sheet1!$K$93,Sheet1!#REF!,Sheet1!$K$94,Sheet1!#REF!</definedName>
    <definedName name="QB_FORMULA_100" localSheetId="1" hidden="1">Sheet1!#REF!,Sheet1!$K$847,Sheet1!#REF!,Sheet1!$K$848,Sheet1!#REF!,Sheet1!$K$849,Sheet1!#REF!,Sheet1!#REF!,Sheet1!$K$851,Sheet1!#REF!,Sheet1!$K$852,Sheet1!#REF!,Sheet1!$K$853,Sheet1!#REF!,Sheet1!$K$854,Sheet1!#REF!</definedName>
    <definedName name="QB_FORMULA_101" localSheetId="1" hidden="1">Sheet1!#REF!,Sheet1!#REF!,Sheet1!$K$857,Sheet1!#REF!,Sheet1!$K$858,Sheet1!#REF!,Sheet1!$K$859,Sheet1!#REF!,Sheet1!$K$860,Sheet1!#REF!,Sheet1!$K$861,Sheet1!#REF!,Sheet1!$K$862,Sheet1!#REF!,Sheet1!$K$863,Sheet1!#REF!</definedName>
    <definedName name="QB_FORMULA_102" localSheetId="1" hidden="1">Sheet1!$K$864,Sheet1!#REF!,Sheet1!$K$865,Sheet1!#REF!,Sheet1!$K$866,Sheet1!#REF!,Sheet1!$K$867,Sheet1!#REF!,Sheet1!$K$868,Sheet1!#REF!,Sheet1!$K$869,Sheet1!#REF!,Sheet1!$K$870,Sheet1!#REF!,Sheet1!$K$871,Sheet1!#REF!</definedName>
    <definedName name="QB_FORMULA_103" localSheetId="1" hidden="1">Sheet1!$K$872,Sheet1!#REF!,Sheet1!#REF!,Sheet1!$K$874,Sheet1!#REF!,Sheet1!$K$875,Sheet1!#REF!,Sheet1!$K$876,Sheet1!#REF!,Sheet1!$K$877,Sheet1!#REF!,Sheet1!#REF!,Sheet1!$K$879,Sheet1!#REF!,Sheet1!$K$880,Sheet1!#REF!</definedName>
    <definedName name="QB_FORMULA_104" localSheetId="1" hidden="1">Sheet1!$K$881,Sheet1!#REF!,Sheet1!$K$882,Sheet1!#REF!,Sheet1!$K$883,Sheet1!#REF!,Sheet1!$K$884,Sheet1!#REF!,Sheet1!$K$885,Sheet1!#REF!,Sheet1!$K$886,Sheet1!#REF!,Sheet1!$K$887,Sheet1!#REF!,Sheet1!$K$888,Sheet1!#REF!</definedName>
    <definedName name="QB_FORMULA_105" localSheetId="1" hidden="1">Sheet1!$K$889,Sheet1!#REF!,Sheet1!#REF!,Sheet1!$K$891,Sheet1!#REF!,Sheet1!$K$892,Sheet1!#REF!,Sheet1!$K$893,Sheet1!#REF!,Sheet1!$K$894,Sheet1!#REF!,Sheet1!$K$895,Sheet1!#REF!,Sheet1!$K$896,Sheet1!#REF!,Sheet1!$K$897</definedName>
    <definedName name="QB_FORMULA_106" localSheetId="1" hidden="1">Sheet1!#REF!,Sheet1!$K$898,Sheet1!#REF!,Sheet1!$K$899,Sheet1!#REF!,Sheet1!$K$900,Sheet1!#REF!,Sheet1!$K$901,Sheet1!#REF!,Sheet1!$K$902,Sheet1!#REF!,Sheet1!$K$903,Sheet1!#REF!,Sheet1!$K$904,Sheet1!#REF!,Sheet1!$K$905</definedName>
    <definedName name="QB_FORMULA_107" localSheetId="1" hidden="1">Sheet1!#REF!,Sheet1!$K$906,Sheet1!#REF!,Sheet1!$K$907,Sheet1!#REF!,Sheet1!#REF!,Sheet1!$K$909,Sheet1!#REF!,Sheet1!$K$910,Sheet1!#REF!,Sheet1!$K$911,Sheet1!#REF!,Sheet1!$K$912,Sheet1!#REF!,Sheet1!$K$913,Sheet1!#REF!</definedName>
    <definedName name="QB_FORMULA_108" localSheetId="1" hidden="1">Sheet1!$K$914,Sheet1!#REF!,Sheet1!$K$915,Sheet1!#REF!,Sheet1!$K$916,Sheet1!#REF!,Sheet1!$K$917,Sheet1!#REF!,Sheet1!$K$918,Sheet1!#REF!,Sheet1!$K$919,Sheet1!#REF!,Sheet1!$K$920,Sheet1!#REF!,Sheet1!$K$921,Sheet1!#REF!</definedName>
    <definedName name="QB_FORMULA_109" localSheetId="1" hidden="1">Sheet1!$K$922,Sheet1!#REF!,Sheet1!$K$923,Sheet1!#REF!,Sheet1!$K$924,Sheet1!#REF!,Sheet1!$K$925,Sheet1!#REF!,Sheet1!$K$926,Sheet1!#REF!,Sheet1!$K$927,Sheet1!#REF!,Sheet1!$K$928,Sheet1!#REF!,Sheet1!$K$929,Sheet1!#REF!</definedName>
    <definedName name="QB_FORMULA_11" localSheetId="1" hidden="1">Sheet1!$K$95,Sheet1!#REF!,Sheet1!$K$96,Sheet1!#REF!,Sheet1!$K$97,Sheet1!#REF!,Sheet1!$K$98,Sheet1!#REF!,Sheet1!$K$99,Sheet1!#REF!,Sheet1!$K$100,Sheet1!#REF!,Sheet1!$K$101,Sheet1!#REF!,Sheet1!$K$102,Sheet1!#REF!</definedName>
    <definedName name="QB_FORMULA_110" localSheetId="1" hidden="1">Sheet1!$K$930,Sheet1!#REF!,Sheet1!$K$931,Sheet1!#REF!,Sheet1!$K$932,Sheet1!#REF!,Sheet1!$K$933,Sheet1!#REF!,Sheet1!$K$934,Sheet1!#REF!,Sheet1!$K$935,Sheet1!#REF!,Sheet1!$K$936,Sheet1!#REF!,Sheet1!#REF!,Sheet1!#REF!</definedName>
    <definedName name="QB_FORMULA_111" localSheetId="1" hidden="1">Sheet1!$K$939,Sheet1!#REF!,Sheet1!$K$940,Sheet1!#REF!,Sheet1!$K$941,Sheet1!#REF!,Sheet1!$K$942,Sheet1!#REF!,Sheet1!$K$943,Sheet1!#REF!,Sheet1!$K$944,Sheet1!#REF!,Sheet1!$K$945,Sheet1!#REF!,Sheet1!$K$946,Sheet1!#REF!</definedName>
    <definedName name="QB_FORMULA_112" localSheetId="1" hidden="1">Sheet1!$K$947,Sheet1!#REF!,Sheet1!$K$948,Sheet1!#REF!,Sheet1!$K$949,Sheet1!#REF!,Sheet1!$K$950,Sheet1!#REF!,Sheet1!$K$951,Sheet1!#REF!,Sheet1!$K$952,Sheet1!#REF!,Sheet1!#REF!,Sheet1!$K$954,Sheet1!#REF!,Sheet1!$K$955</definedName>
    <definedName name="QB_FORMULA_113" localSheetId="1" hidden="1">Sheet1!#REF!,Sheet1!$K$956,Sheet1!#REF!,Sheet1!$K$957,Sheet1!#REF!,Sheet1!$K$958,Sheet1!#REF!,Sheet1!$K$959,Sheet1!#REF!,Sheet1!$K$960,Sheet1!#REF!,Sheet1!$K$961,Sheet1!#REF!,Sheet1!$K$962,Sheet1!#REF!,Sheet1!$K$963</definedName>
    <definedName name="QB_FORMULA_114" localSheetId="1" hidden="1">Sheet1!#REF!,Sheet1!$K$964,Sheet1!#REF!,Sheet1!$K$965,Sheet1!#REF!,Sheet1!$K$966,Sheet1!#REF!,Sheet1!$K$967,Sheet1!#REF!,Sheet1!$K$968,Sheet1!#REF!,Sheet1!#REF!,Sheet1!$K$970,Sheet1!#REF!,Sheet1!$K$971,Sheet1!#REF!</definedName>
    <definedName name="QB_FORMULA_115" localSheetId="1" hidden="1">Sheet1!$K$972,Sheet1!#REF!,Sheet1!$K$973,Sheet1!#REF!,Sheet1!$K$974,Sheet1!#REF!,Sheet1!$K$975,Sheet1!#REF!,Sheet1!$K$976,Sheet1!#REF!,Sheet1!$K$977,Sheet1!#REF!,Sheet1!$K$978,Sheet1!#REF!,Sheet1!$K$979,Sheet1!#REF!</definedName>
    <definedName name="QB_FORMULA_116" localSheetId="1" hidden="1">Sheet1!#REF!,Sheet1!$K$981,Sheet1!#REF!,Sheet1!$K$982,Sheet1!#REF!,Sheet1!$K$983,Sheet1!#REF!,Sheet1!$K$984,Sheet1!#REF!,Sheet1!$K$985,Sheet1!#REF!</definedName>
    <definedName name="QB_FORMULA_12" localSheetId="1" hidden="1">Sheet1!$K$103,Sheet1!#REF!,Sheet1!$K$104,Sheet1!#REF!,Sheet1!$K$105,Sheet1!#REF!,Sheet1!$K$106,Sheet1!#REF!,Sheet1!$K$107,Sheet1!#REF!,Sheet1!$K$108,Sheet1!#REF!,Sheet1!$K$109,Sheet1!#REF!,Sheet1!$K$110,Sheet1!#REF!</definedName>
    <definedName name="QB_FORMULA_13" localSheetId="1" hidden="1">Sheet1!$K$111,Sheet1!#REF!,Sheet1!$K$112,Sheet1!#REF!,Sheet1!$K$113,Sheet1!#REF!,Sheet1!$K$114,Sheet1!#REF!,Sheet1!$K$115,Sheet1!#REF!,Sheet1!$K$116,Sheet1!#REF!,Sheet1!$K$117,Sheet1!#REF!,Sheet1!$K$118,Sheet1!#REF!</definedName>
    <definedName name="QB_FORMULA_14" localSheetId="1" hidden="1">Sheet1!$K$119,Sheet1!#REF!,Sheet1!$K$120,Sheet1!#REF!,Sheet1!#REF!,Sheet1!$K$122,Sheet1!#REF!,Sheet1!$K$123,Sheet1!#REF!,Sheet1!$K$124,Sheet1!#REF!,Sheet1!#REF!,Sheet1!$K$126,Sheet1!#REF!,Sheet1!$K$127,Sheet1!#REF!</definedName>
    <definedName name="QB_FORMULA_15" localSheetId="1" hidden="1">Sheet1!$K$128,Sheet1!#REF!,Sheet1!$K$129,Sheet1!#REF!,Sheet1!$K$130,Sheet1!#REF!,Sheet1!$K$131,Sheet1!#REF!,Sheet1!$K$132,Sheet1!#REF!,Sheet1!$K$133,Sheet1!#REF!,Sheet1!$K$134,Sheet1!#REF!,Sheet1!$K$135,Sheet1!#REF!</definedName>
    <definedName name="QB_FORMULA_16" localSheetId="1" hidden="1">Sheet1!$K$136,Sheet1!#REF!,Sheet1!$K$137,Sheet1!#REF!,Sheet1!#REF!,Sheet1!$K$139,Sheet1!#REF!,Sheet1!$K$140,Sheet1!#REF!,Sheet1!$K$141,Sheet1!#REF!,Sheet1!$K$142,Sheet1!#REF!,Sheet1!$K$143,Sheet1!#REF!,Sheet1!$K$144</definedName>
    <definedName name="QB_FORMULA_17" localSheetId="1" hidden="1">Sheet1!#REF!,Sheet1!#REF!,Sheet1!#REF!,Sheet1!$K$147,Sheet1!#REF!,Sheet1!$K$148,Sheet1!#REF!,Sheet1!$K$149,Sheet1!#REF!,Sheet1!$K$150,Sheet1!#REF!,Sheet1!$K$151,Sheet1!#REF!,Sheet1!$K$152,Sheet1!#REF!,Sheet1!$K$153</definedName>
    <definedName name="QB_FORMULA_18" localSheetId="1" hidden="1">Sheet1!#REF!,Sheet1!$K$154,Sheet1!#REF!,Sheet1!$K$155,Sheet1!#REF!,Sheet1!$K$156,Sheet1!#REF!,Sheet1!$K$157,Sheet1!#REF!,Sheet1!$K$158,Sheet1!#REF!,Sheet1!$K$159,Sheet1!#REF!,Sheet1!$K$160,Sheet1!#REF!,Sheet1!$K$161</definedName>
    <definedName name="QB_FORMULA_19" localSheetId="1" hidden="1">Sheet1!#REF!,Sheet1!$K$162,Sheet1!#REF!,Sheet1!$K$163,Sheet1!#REF!,Sheet1!$K$164,Sheet1!#REF!,Sheet1!$K$165,Sheet1!#REF!,Sheet1!$K$166,Sheet1!#REF!,Sheet1!$K$167,Sheet1!#REF!,Sheet1!$K$168,Sheet1!#REF!,Sheet1!$K$169</definedName>
    <definedName name="QB_FORMULA_2" localSheetId="1" hidden="1">Sheet1!$K$18,Sheet1!#REF!,Sheet1!$K$19,Sheet1!#REF!,Sheet1!#REF!,Sheet1!$K$21,Sheet1!#REF!,Sheet1!#REF!,Sheet1!#REF!,Sheet1!$K$24,Sheet1!#REF!,Sheet1!$K$25,Sheet1!#REF!,Sheet1!$K$26,Sheet1!#REF!,Sheet1!$K$27</definedName>
    <definedName name="QB_FORMULA_20" localSheetId="1" hidden="1">Sheet1!#REF!,Sheet1!$K$170,Sheet1!#REF!,Sheet1!$K$171,Sheet1!#REF!,Sheet1!$K$172,Sheet1!#REF!,Sheet1!$K$173,Sheet1!#REF!,Sheet1!$K$174,Sheet1!#REF!,Sheet1!$K$175,Sheet1!#REF!,Sheet1!$K$176,Sheet1!#REF!,Sheet1!$K$177</definedName>
    <definedName name="QB_FORMULA_21" localSheetId="1" hidden="1">Sheet1!#REF!,Sheet1!$K$178,Sheet1!#REF!,Sheet1!#REF!,Sheet1!$K$180,Sheet1!#REF!,Sheet1!$K$181,Sheet1!#REF!,Sheet1!$K$182,Sheet1!#REF!,Sheet1!$K$183,Sheet1!#REF!,Sheet1!#REF!,Sheet1!$K$185,Sheet1!#REF!,Sheet1!#REF!</definedName>
    <definedName name="QB_FORMULA_22" localSheetId="1" hidden="1">Sheet1!$K$187,Sheet1!#REF!,Sheet1!$K$188,Sheet1!#REF!,Sheet1!$K$189,Sheet1!#REF!,Sheet1!$K$190,Sheet1!#REF!,Sheet1!$K$191,Sheet1!#REF!,Sheet1!$K$192,Sheet1!#REF!,Sheet1!$K$193,Sheet1!#REF!,Sheet1!$K$194,Sheet1!#REF!</definedName>
    <definedName name="QB_FORMULA_23" localSheetId="1" hidden="1">Sheet1!$K$195,Sheet1!#REF!,Sheet1!$K$196,Sheet1!#REF!,Sheet1!$K$197,Sheet1!#REF!,Sheet1!$K$198,Sheet1!#REF!,Sheet1!$K$199,Sheet1!#REF!,Sheet1!$K$200,Sheet1!#REF!,Sheet1!$K$201,Sheet1!#REF!,Sheet1!$K$202,Sheet1!#REF!</definedName>
    <definedName name="QB_FORMULA_24" localSheetId="1" hidden="1">Sheet1!$K$203,Sheet1!#REF!,Sheet1!$K$204,Sheet1!#REF!,Sheet1!$K$205,Sheet1!#REF!,Sheet1!$K$206,Sheet1!#REF!,Sheet1!$K$207,Sheet1!#REF!,Sheet1!$K$208,Sheet1!#REF!,Sheet1!$K$209,Sheet1!#REF!,Sheet1!$K$210,Sheet1!#REF!</definedName>
    <definedName name="QB_FORMULA_25" localSheetId="1" hidden="1">Sheet1!$K$211,Sheet1!#REF!,Sheet1!$K$212,Sheet1!#REF!,Sheet1!$K$213,Sheet1!#REF!,Sheet1!$K$214,Sheet1!#REF!,Sheet1!#REF!,Sheet1!$K$216,Sheet1!#REF!,Sheet1!$K$217,Sheet1!#REF!,Sheet1!$K$218,Sheet1!#REF!,Sheet1!#REF!</definedName>
    <definedName name="QB_FORMULA_26" localSheetId="1" hidden="1">Sheet1!$K$220,Sheet1!#REF!,Sheet1!$K$221,Sheet1!#REF!,Sheet1!$K$222,Sheet1!#REF!,Sheet1!#REF!,Sheet1!$K$224,Sheet1!#REF!,Sheet1!$K$225,Sheet1!#REF!,Sheet1!$K$226,Sheet1!#REF!,Sheet1!$K$227,Sheet1!#REF!,Sheet1!$K$228</definedName>
    <definedName name="QB_FORMULA_27" localSheetId="1" hidden="1">Sheet1!#REF!,Sheet1!$K$229,Sheet1!#REF!,Sheet1!$K$230,Sheet1!#REF!,Sheet1!$K$231,Sheet1!#REF!,Sheet1!$K$232,Sheet1!#REF!,Sheet1!$K$233,Sheet1!#REF!,Sheet1!$K$234,Sheet1!#REF!,Sheet1!$K$235,Sheet1!#REF!,Sheet1!$K$236</definedName>
    <definedName name="QB_FORMULA_28" localSheetId="1" hidden="1">Sheet1!#REF!,Sheet1!$K$237,Sheet1!#REF!,Sheet1!$K$238,Sheet1!#REF!,Sheet1!$K$239,Sheet1!#REF!,Sheet1!$K$240,Sheet1!#REF!,Sheet1!$K$241,Sheet1!#REF!,Sheet1!$K$242,Sheet1!#REF!,Sheet1!$K$243,Sheet1!#REF!,Sheet1!$K$244</definedName>
    <definedName name="QB_FORMULA_29" localSheetId="1" hidden="1">Sheet1!#REF!,Sheet1!$K$245,Sheet1!#REF!,Sheet1!$K$246,Sheet1!#REF!,Sheet1!$K$247,Sheet1!#REF!,Sheet1!$K$248,Sheet1!#REF!,Sheet1!$K$249,Sheet1!#REF!,Sheet1!$K$250,Sheet1!#REF!,Sheet1!$K$251,Sheet1!#REF!,Sheet1!$K$252</definedName>
    <definedName name="QB_FORMULA_3" localSheetId="1" hidden="1">Sheet1!#REF!,Sheet1!$K$28,Sheet1!#REF!,Sheet1!$K$29,Sheet1!#REF!,Sheet1!$K$30,Sheet1!#REF!,Sheet1!$K$31,Sheet1!#REF!,Sheet1!$K$32,Sheet1!#REF!,Sheet1!$K$33,Sheet1!#REF!,Sheet1!$K$34,Sheet1!#REF!,Sheet1!$K$35</definedName>
    <definedName name="QB_FORMULA_30" localSheetId="1" hidden="1">Sheet1!#REF!,Sheet1!$K$253,Sheet1!#REF!,Sheet1!$K$254,Sheet1!#REF!,Sheet1!$K$255,Sheet1!#REF!,Sheet1!$K$256,Sheet1!#REF!,Sheet1!$K$257,Sheet1!#REF!,Sheet1!$K$258,Sheet1!#REF!,Sheet1!#REF!,Sheet1!$K$260,Sheet1!#REF!</definedName>
    <definedName name="QB_FORMULA_31" localSheetId="1" hidden="1">Sheet1!$K$261,Sheet1!#REF!,Sheet1!$K$262,Sheet1!#REF!,Sheet1!$K$263,Sheet1!#REF!,Sheet1!$K$264,Sheet1!#REF!,Sheet1!$K$265,Sheet1!#REF!,Sheet1!$K$266,Sheet1!#REF!,Sheet1!$K$267,Sheet1!#REF!,Sheet1!$K$268,Sheet1!#REF!</definedName>
    <definedName name="QB_FORMULA_32" localSheetId="1" hidden="1">Sheet1!$K$269,Sheet1!#REF!,Sheet1!$K$270,Sheet1!#REF!,Sheet1!$K$271,Sheet1!#REF!,Sheet1!$K$272,Sheet1!#REF!,Sheet1!$K$273,Sheet1!#REF!,Sheet1!#REF!,Sheet1!$K$275,Sheet1!#REF!,Sheet1!$K$276,Sheet1!#REF!,Sheet1!$K$277</definedName>
    <definedName name="QB_FORMULA_33" localSheetId="1" hidden="1">Sheet1!#REF!,Sheet1!$K$278,Sheet1!#REF!,Sheet1!$K$279,Sheet1!#REF!,Sheet1!#REF!,Sheet1!#REF!,Sheet1!$K$282,Sheet1!#REF!,Sheet1!$K$283,Sheet1!#REF!,Sheet1!#REF!,Sheet1!$K$285,Sheet1!#REF!,Sheet1!#REF!,Sheet1!$K$287</definedName>
    <definedName name="QB_FORMULA_34" localSheetId="1" hidden="1">Sheet1!#REF!,Sheet1!$K$288,Sheet1!#REF!,Sheet1!$K$289,Sheet1!#REF!,Sheet1!$K$290,Sheet1!#REF!,Sheet1!$K$291,Sheet1!#REF!,Sheet1!$K$292,Sheet1!#REF!,Sheet1!$K$293,Sheet1!#REF!,Sheet1!$K$294,Sheet1!#REF!,Sheet1!$K$295</definedName>
    <definedName name="QB_FORMULA_35" localSheetId="1" hidden="1">Sheet1!#REF!,Sheet1!$K$296,Sheet1!#REF!,Sheet1!$K$297,Sheet1!#REF!,Sheet1!$K$298,Sheet1!#REF!,Sheet1!$K$299,Sheet1!#REF!,Sheet1!$K$300,Sheet1!#REF!,Sheet1!$K$301,Sheet1!#REF!,Sheet1!$K$302,Sheet1!#REF!,Sheet1!$K$303</definedName>
    <definedName name="QB_FORMULA_36" localSheetId="1" hidden="1">Sheet1!#REF!,Sheet1!$K$304,Sheet1!#REF!,Sheet1!$K$305,Sheet1!#REF!,Sheet1!$K$306,Sheet1!#REF!,Sheet1!$K$307,Sheet1!#REF!,Sheet1!$K$308,Sheet1!#REF!,Sheet1!$K$309,Sheet1!#REF!,Sheet1!$K$310,Sheet1!#REF!,Sheet1!$K$311</definedName>
    <definedName name="QB_FORMULA_37" localSheetId="1" hidden="1">Sheet1!#REF!,Sheet1!#REF!,Sheet1!$K$313,Sheet1!#REF!,Sheet1!$K$314,Sheet1!#REF!,Sheet1!$K$315,Sheet1!#REF!,Sheet1!$K$316,Sheet1!#REF!,Sheet1!$K$317,Sheet1!#REF!,Sheet1!$K$318,Sheet1!#REF!,Sheet1!$K$319,Sheet1!#REF!</definedName>
    <definedName name="QB_FORMULA_38" localSheetId="1" hidden="1">Sheet1!$K$320,Sheet1!#REF!,Sheet1!$K$321,Sheet1!#REF!,Sheet1!$K$322,Sheet1!#REF!,Sheet1!$K$323,Sheet1!#REF!,Sheet1!$K$324,Sheet1!#REF!,Sheet1!$K$325,Sheet1!#REF!,Sheet1!$K$326,Sheet1!#REF!,Sheet1!$K$327,Sheet1!#REF!</definedName>
    <definedName name="QB_FORMULA_39" localSheetId="1" hidden="1">Sheet1!$K$328,Sheet1!#REF!,Sheet1!$K$329,Sheet1!#REF!,Sheet1!$K$330,Sheet1!#REF!,Sheet1!$K$331,Sheet1!#REF!,Sheet1!$K$332,Sheet1!#REF!,Sheet1!$K$333,Sheet1!#REF!,Sheet1!$K$334,Sheet1!#REF!,Sheet1!$K$335,Sheet1!#REF!</definedName>
    <definedName name="QB_FORMULA_4" localSheetId="1" hidden="1">Sheet1!#REF!,Sheet1!$K$36,Sheet1!#REF!,Sheet1!$K$37,Sheet1!#REF!,Sheet1!$K$38,Sheet1!#REF!,Sheet1!$K$39,Sheet1!#REF!,Sheet1!$K$40,Sheet1!#REF!,Sheet1!#REF!,Sheet1!$K$42,Sheet1!#REF!,Sheet1!$K$43,Sheet1!#REF!</definedName>
    <definedName name="QB_FORMULA_40" localSheetId="1" hidden="1">Sheet1!$K$336,Sheet1!#REF!,Sheet1!$K$337,Sheet1!#REF!,Sheet1!$K$338,Sheet1!#REF!,Sheet1!$K$339,Sheet1!#REF!,Sheet1!$K$340,Sheet1!#REF!,Sheet1!$K$341,Sheet1!#REF!,Sheet1!$K$342,Sheet1!#REF!,Sheet1!$K$343,Sheet1!#REF!</definedName>
    <definedName name="QB_FORMULA_41" localSheetId="1" hidden="1">Sheet1!$K$344,Sheet1!#REF!,Sheet1!$K$345,Sheet1!#REF!,Sheet1!$K$346,Sheet1!#REF!,Sheet1!$K$347,Sheet1!#REF!,Sheet1!$K$348,Sheet1!#REF!,Sheet1!$K$349,Sheet1!#REF!,Sheet1!$K$350,Sheet1!#REF!,Sheet1!$K$351,Sheet1!#REF!</definedName>
    <definedName name="QB_FORMULA_42" localSheetId="1" hidden="1">Sheet1!$K$352,Sheet1!#REF!,Sheet1!#REF!,Sheet1!$K$354,Sheet1!#REF!,Sheet1!$K$355,Sheet1!#REF!,Sheet1!$K$356,Sheet1!#REF!,Sheet1!$K$357,Sheet1!#REF!,Sheet1!$K$358,Sheet1!#REF!,Sheet1!$K$359,Sheet1!#REF!,Sheet1!$K$360</definedName>
    <definedName name="QB_FORMULA_43" localSheetId="1" hidden="1">Sheet1!#REF!,Sheet1!$K$361,Sheet1!#REF!,Sheet1!$K$362,Sheet1!#REF!,Sheet1!#REF!,Sheet1!$K$364,Sheet1!#REF!,Sheet1!$K$365,Sheet1!#REF!,Sheet1!#REF!,Sheet1!$K$367,Sheet1!#REF!,Sheet1!$K$368,Sheet1!#REF!,Sheet1!$K$369</definedName>
    <definedName name="QB_FORMULA_44" localSheetId="1" hidden="1">Sheet1!#REF!,Sheet1!$K$370,Sheet1!#REF!,Sheet1!#REF!,Sheet1!$K$372,Sheet1!#REF!,Sheet1!$K$373,Sheet1!#REF!,Sheet1!$K$374,Sheet1!#REF!,Sheet1!$K$375,Sheet1!#REF!,Sheet1!$K$376,Sheet1!#REF!,Sheet1!$K$377,Sheet1!#REF!</definedName>
    <definedName name="QB_FORMULA_45" localSheetId="1" hidden="1">Sheet1!$K$378,Sheet1!#REF!,Sheet1!#REF!,Sheet1!$K$380,Sheet1!#REF!,Sheet1!$K$381,Sheet1!#REF!,Sheet1!$K$382,Sheet1!#REF!,Sheet1!$K$383,Sheet1!#REF!,Sheet1!$K$384,Sheet1!#REF!,Sheet1!$K$385,Sheet1!#REF!,Sheet1!$K$386</definedName>
    <definedName name="QB_FORMULA_46" localSheetId="1" hidden="1">Sheet1!#REF!,Sheet1!$K$387,Sheet1!#REF!,Sheet1!$K$388,Sheet1!#REF!,Sheet1!$K$389,Sheet1!#REF!,Sheet1!$K$390,Sheet1!#REF!,Sheet1!$K$391,Sheet1!#REF!,Sheet1!$K$392,Sheet1!#REF!,Sheet1!$K$393,Sheet1!#REF!,Sheet1!$K$394</definedName>
    <definedName name="QB_FORMULA_47" localSheetId="1" hidden="1">Sheet1!#REF!,Sheet1!$K$395,Sheet1!#REF!,Sheet1!$K$396,Sheet1!#REF!,Sheet1!$K$397,Sheet1!#REF!,Sheet1!$K$398,Sheet1!#REF!,Sheet1!$K$399,Sheet1!#REF!,Sheet1!$K$400,Sheet1!#REF!,Sheet1!$K$401,Sheet1!#REF!,Sheet1!$K$402</definedName>
    <definedName name="QB_FORMULA_48" localSheetId="1" hidden="1">Sheet1!#REF!,Sheet1!#REF!,Sheet1!$K$404,Sheet1!#REF!,Sheet1!$K$405,Sheet1!#REF!,Sheet1!$K$406,Sheet1!#REF!,Sheet1!$K$407,Sheet1!#REF!,Sheet1!$K$408,Sheet1!#REF!,Sheet1!$K$409,Sheet1!#REF!,Sheet1!$K$410,Sheet1!#REF!</definedName>
    <definedName name="QB_FORMULA_49" localSheetId="1" hidden="1">Sheet1!$K$411,Sheet1!#REF!,Sheet1!$K$412,Sheet1!#REF!,Sheet1!$K$413,Sheet1!#REF!,Sheet1!$K$414,Sheet1!#REF!,Sheet1!$K$415,Sheet1!#REF!,Sheet1!$K$416,Sheet1!#REF!,Sheet1!$K$417,Sheet1!#REF!,Sheet1!$K$418,Sheet1!#REF!</definedName>
    <definedName name="QB_FORMULA_5" localSheetId="1" hidden="1">Sheet1!$K$44,Sheet1!#REF!,Sheet1!$K$45,Sheet1!#REF!,Sheet1!$K$46,Sheet1!#REF!,Sheet1!$K$47,Sheet1!#REF!,Sheet1!$K$48,Sheet1!#REF!,Sheet1!$K$49,Sheet1!#REF!,Sheet1!$K$50,Sheet1!#REF!,Sheet1!$K$51,Sheet1!#REF!</definedName>
    <definedName name="QB_FORMULA_50" localSheetId="1" hidden="1">Sheet1!$K$419,Sheet1!#REF!,Sheet1!$K$420,Sheet1!#REF!,Sheet1!$K$421,Sheet1!#REF!,Sheet1!$K$422,Sheet1!#REF!,Sheet1!$K$423,Sheet1!#REF!,Sheet1!$K$424,Sheet1!#REF!,Sheet1!$K$425,Sheet1!#REF!,Sheet1!#REF!,Sheet1!#REF!</definedName>
    <definedName name="QB_FORMULA_51" localSheetId="1" hidden="1">Sheet1!$K$428,Sheet1!#REF!,Sheet1!$K$429,Sheet1!#REF!,Sheet1!#REF!,Sheet1!$K$431,Sheet1!#REF!,Sheet1!$K$432,Sheet1!#REF!,Sheet1!$K$433,Sheet1!#REF!,Sheet1!$K$434,Sheet1!#REF!,Sheet1!$K$435,Sheet1!#REF!,Sheet1!$K$436</definedName>
    <definedName name="QB_FORMULA_52" localSheetId="1" hidden="1">Sheet1!#REF!,Sheet1!$K$437,Sheet1!#REF!,Sheet1!$K$438,Sheet1!#REF!,Sheet1!$K$439,Sheet1!#REF!,Sheet1!$K$440,Sheet1!#REF!,Sheet1!$K$441,Sheet1!#REF!,Sheet1!$K$442,Sheet1!#REF!,Sheet1!$K$443,Sheet1!#REF!,Sheet1!$K$444</definedName>
    <definedName name="QB_FORMULA_53" localSheetId="1" hidden="1">Sheet1!#REF!,Sheet1!$K$445,Sheet1!#REF!,Sheet1!$K$446,Sheet1!#REF!,Sheet1!$K$447,Sheet1!#REF!,Sheet1!$K$448,Sheet1!#REF!,Sheet1!$K$449,Sheet1!#REF!,Sheet1!$K$450,Sheet1!#REF!,Sheet1!$K$451,Sheet1!#REF!,Sheet1!$K$452</definedName>
    <definedName name="QB_FORMULA_54" localSheetId="1" hidden="1">Sheet1!#REF!,Sheet1!$K$453,Sheet1!#REF!,Sheet1!#REF!,Sheet1!$K$455,Sheet1!#REF!,Sheet1!$K$456,Sheet1!#REF!,Sheet1!#REF!,Sheet1!$K$458,Sheet1!#REF!,Sheet1!$K$459,Sheet1!#REF!,Sheet1!$K$460,Sheet1!#REF!,Sheet1!$K$461</definedName>
    <definedName name="QB_FORMULA_55" localSheetId="1" hidden="1">Sheet1!#REF!,Sheet1!$K$462,Sheet1!#REF!,Sheet1!$K$463,Sheet1!#REF!,Sheet1!$K$464,Sheet1!#REF!,Sheet1!#REF!,Sheet1!$K$466,Sheet1!#REF!,Sheet1!$K$467,Sheet1!#REF!,Sheet1!$K$468,Sheet1!#REF!,Sheet1!$K$469,Sheet1!#REF!</definedName>
    <definedName name="QB_FORMULA_56" localSheetId="1" hidden="1">Sheet1!#REF!,Sheet1!$K$471,Sheet1!#REF!,Sheet1!$K$472,Sheet1!#REF!,Sheet1!#REF!,Sheet1!$K$474,Sheet1!#REF!,Sheet1!$K$475,Sheet1!#REF!,Sheet1!$K$476,Sheet1!#REF!,Sheet1!$K$477,Sheet1!#REF!,Sheet1!$K$478,Sheet1!#REF!</definedName>
    <definedName name="QB_FORMULA_57" localSheetId="1" hidden="1">Sheet1!#REF!,Sheet1!$K$480,Sheet1!#REF!,Sheet1!$K$481,Sheet1!#REF!,Sheet1!$K$482,Sheet1!#REF!,Sheet1!$K$483,Sheet1!#REF!,Sheet1!$K$484,Sheet1!#REF!,Sheet1!#REF!,Sheet1!$K$486,Sheet1!#REF!,Sheet1!$K$487,Sheet1!#REF!</definedName>
    <definedName name="QB_FORMULA_58" localSheetId="1" hidden="1">Sheet1!$K$488,Sheet1!#REF!,Sheet1!$K$489,Sheet1!#REF!,Sheet1!$K$490,Sheet1!#REF!,Sheet1!$K$491,Sheet1!#REF!,Sheet1!$K$492,Sheet1!#REF!,Sheet1!$K$493,Sheet1!#REF!,Sheet1!$K$494,Sheet1!#REF!,Sheet1!$K$495,Sheet1!#REF!</definedName>
    <definedName name="QB_FORMULA_59" localSheetId="1" hidden="1">Sheet1!$K$496,Sheet1!#REF!,Sheet1!$K$497,Sheet1!#REF!,Sheet1!$K$498,Sheet1!#REF!,Sheet1!$K$499,Sheet1!#REF!,Sheet1!$K$500,Sheet1!#REF!,Sheet1!$K$501,Sheet1!#REF!,Sheet1!$K$502,Sheet1!#REF!,Sheet1!$K$503,Sheet1!#REF!</definedName>
    <definedName name="QB_FORMULA_6" localSheetId="1" hidden="1">Sheet1!$K$52,Sheet1!#REF!,Sheet1!$K$53,Sheet1!#REF!,Sheet1!$K$54,Sheet1!#REF!,Sheet1!$K$55,Sheet1!#REF!,Sheet1!$K$56,Sheet1!#REF!,Sheet1!$K$57,Sheet1!#REF!,Sheet1!$K$58,Sheet1!#REF!,Sheet1!$K$59,Sheet1!#REF!</definedName>
    <definedName name="QB_FORMULA_60" localSheetId="1" hidden="1">Sheet1!$K$504,Sheet1!#REF!,Sheet1!$K$505,Sheet1!#REF!,Sheet1!$K$506,Sheet1!#REF!,Sheet1!$K$507,Sheet1!#REF!,Sheet1!$K$508,Sheet1!#REF!,Sheet1!$K$509,Sheet1!#REF!,Sheet1!$K$510,Sheet1!#REF!,Sheet1!$K$511,Sheet1!#REF!</definedName>
    <definedName name="QB_FORMULA_61" localSheetId="1" hidden="1">Sheet1!$K$512,Sheet1!#REF!,Sheet1!$K$513,Sheet1!#REF!,Sheet1!$K$514,Sheet1!#REF!,Sheet1!$K$515,Sheet1!#REF!,Sheet1!$K$516,Sheet1!#REF!,Sheet1!$K$517,Sheet1!#REF!,Sheet1!$K$518,Sheet1!#REF!,Sheet1!$K$519,Sheet1!#REF!</definedName>
    <definedName name="QB_FORMULA_62" localSheetId="1" hidden="1">Sheet1!$K$520,Sheet1!#REF!,Sheet1!$K$521,Sheet1!#REF!,Sheet1!$K$522,Sheet1!#REF!,Sheet1!$K$523,Sheet1!#REF!,Sheet1!$K$524,Sheet1!#REF!,Sheet1!$K$525,Sheet1!#REF!,Sheet1!$K$526,Sheet1!#REF!,Sheet1!$K$527,Sheet1!#REF!</definedName>
    <definedName name="QB_FORMULA_63" localSheetId="1" hidden="1">Sheet1!$K$528,Sheet1!#REF!,Sheet1!$K$529,Sheet1!#REF!,Sheet1!$K$530,Sheet1!#REF!,Sheet1!$K$531,Sheet1!#REF!,Sheet1!$K$532,Sheet1!#REF!,Sheet1!$K$533,Sheet1!#REF!,Sheet1!$K$534,Sheet1!#REF!,Sheet1!$K$535,Sheet1!#REF!</definedName>
    <definedName name="QB_FORMULA_64" localSheetId="1" hidden="1">Sheet1!$K$536,Sheet1!#REF!,Sheet1!$K$537,Sheet1!#REF!,Sheet1!$K$538,Sheet1!#REF!,Sheet1!$K$539,Sheet1!#REF!,Sheet1!$K$540,Sheet1!#REF!,Sheet1!#REF!,Sheet1!#REF!,Sheet1!#REF!,Sheet1!#REF!,Sheet1!$K$545,Sheet1!#REF!</definedName>
    <definedName name="QB_FORMULA_65" localSheetId="1" hidden="1">Sheet1!$K$546,Sheet1!#REF!,Sheet1!$K$547,Sheet1!#REF!,Sheet1!$K$548,Sheet1!#REF!,Sheet1!$K$549,Sheet1!#REF!,Sheet1!$K$550,Sheet1!#REF!,Sheet1!$K$551,Sheet1!#REF!,Sheet1!$K$552,Sheet1!#REF!,Sheet1!$K$553,Sheet1!#REF!</definedName>
    <definedName name="QB_FORMULA_66" localSheetId="1" hidden="1">Sheet1!$K$554,Sheet1!#REF!,Sheet1!$K$555,Sheet1!#REF!,Sheet1!$K$556,Sheet1!#REF!,Sheet1!$K$557,Sheet1!#REF!,Sheet1!$K$558,Sheet1!#REF!,Sheet1!$K$559,Sheet1!#REF!,Sheet1!$K$560,Sheet1!#REF!,Sheet1!$K$561,Sheet1!#REF!</definedName>
    <definedName name="QB_FORMULA_67" localSheetId="1" hidden="1">Sheet1!#REF!,Sheet1!#REF!,Sheet1!#REF!,Sheet1!#REF!,Sheet1!$K$566,Sheet1!#REF!,Sheet1!$K$567,Sheet1!#REF!,Sheet1!$K$568,Sheet1!#REF!,Sheet1!$K$569,Sheet1!#REF!,Sheet1!#REF!,Sheet1!$K$571,Sheet1!#REF!,Sheet1!$K$572</definedName>
    <definedName name="QB_FORMULA_68" localSheetId="1" hidden="1">Sheet1!#REF!,Sheet1!$K$573,Sheet1!#REF!,Sheet1!$K$574,Sheet1!#REF!,Sheet1!#REF!,Sheet1!$K$576,Sheet1!#REF!,Sheet1!$K$577,Sheet1!#REF!,Sheet1!#REF!,Sheet1!$K$579,Sheet1!#REF!,Sheet1!$K$580,Sheet1!#REF!,Sheet1!$K$581</definedName>
    <definedName name="QB_FORMULA_69" localSheetId="1" hidden="1">Sheet1!#REF!,Sheet1!$K$582,Sheet1!#REF!,Sheet1!$K$583,Sheet1!#REF!,Sheet1!$K$584,Sheet1!#REF!,Sheet1!$K$585,Sheet1!#REF!,Sheet1!#REF!,Sheet1!$K$587,Sheet1!#REF!,Sheet1!$K$588,Sheet1!#REF!,Sheet1!#REF!,Sheet1!$K$590</definedName>
    <definedName name="QB_FORMULA_7" localSheetId="1" hidden="1">Sheet1!$K$60,Sheet1!#REF!,Sheet1!$K$61,Sheet1!#REF!,Sheet1!#REF!,Sheet1!$K$63,Sheet1!#REF!,Sheet1!#REF!,Sheet1!#REF!,Sheet1!$K$66,Sheet1!#REF!,Sheet1!$K$67,Sheet1!#REF!,Sheet1!$K$68,Sheet1!#REF!,Sheet1!$K$69</definedName>
    <definedName name="QB_FORMULA_70" localSheetId="1" hidden="1">Sheet1!#REF!,Sheet1!$K$591,Sheet1!#REF!,Sheet1!$K$592,Sheet1!#REF!,Sheet1!$K$593,Sheet1!#REF!,Sheet1!$K$594,Sheet1!#REF!,Sheet1!$K$595,Sheet1!#REF!,Sheet1!$K$596,Sheet1!#REF!,Sheet1!$K$597,Sheet1!#REF!,Sheet1!$K$598</definedName>
    <definedName name="QB_FORMULA_71" localSheetId="1" hidden="1">Sheet1!#REF!,Sheet1!$K$599,Sheet1!#REF!,Sheet1!$K$600,Sheet1!#REF!,Sheet1!#REF!,Sheet1!#REF!,Sheet1!$K$603,Sheet1!#REF!,Sheet1!$K$604,Sheet1!#REF!,Sheet1!$K$605,Sheet1!#REF!,Sheet1!$K$606,Sheet1!#REF!,Sheet1!$K$607</definedName>
    <definedName name="QB_FORMULA_72" localSheetId="1" hidden="1">Sheet1!#REF!,Sheet1!$K$608,Sheet1!#REF!,Sheet1!$K$609,Sheet1!#REF!,Sheet1!#REF!,Sheet1!#REF!,Sheet1!#REF!,Sheet1!#REF!,Sheet1!$K$614,Sheet1!#REF!,Sheet1!$K$615,Sheet1!#REF!,Sheet1!$K$616,Sheet1!#REF!,Sheet1!$K$617</definedName>
    <definedName name="QB_FORMULA_73" localSheetId="1" hidden="1">Sheet1!#REF!,Sheet1!$K$618,Sheet1!#REF!,Sheet1!$K$619,Sheet1!#REF!,Sheet1!$K$620,Sheet1!#REF!,Sheet1!$K$621,Sheet1!#REF!,Sheet1!$K$622,Sheet1!#REF!,Sheet1!$K$623,Sheet1!#REF!,Sheet1!$K$624,Sheet1!#REF!,Sheet1!$K$625</definedName>
    <definedName name="QB_FORMULA_74" localSheetId="1" hidden="1">Sheet1!#REF!,Sheet1!$K$626,Sheet1!#REF!,Sheet1!$K$627,Sheet1!#REF!,Sheet1!$K$628,Sheet1!#REF!,Sheet1!$K$629,Sheet1!#REF!,Sheet1!$K$630,Sheet1!#REF!,Sheet1!$K$631,Sheet1!#REF!,Sheet1!$K$632,Sheet1!#REF!,Sheet1!$K$633</definedName>
    <definedName name="QB_FORMULA_75" localSheetId="1" hidden="1">Sheet1!#REF!,Sheet1!$K$634,Sheet1!#REF!,Sheet1!$K$635,Sheet1!#REF!,Sheet1!$K$636,Sheet1!#REF!,Sheet1!$K$637,Sheet1!#REF!,Sheet1!$K$638,Sheet1!#REF!,Sheet1!$K$639,Sheet1!#REF!,Sheet1!$K$640,Sheet1!#REF!,Sheet1!$K$641</definedName>
    <definedName name="QB_FORMULA_76" localSheetId="1" hidden="1">Sheet1!#REF!,Sheet1!$K$642,Sheet1!#REF!,Sheet1!$K$643,Sheet1!#REF!,Sheet1!#REF!,Sheet1!#REF!,Sheet1!$K$646,Sheet1!#REF!,Sheet1!$K$647,Sheet1!#REF!,Sheet1!$K$648,Sheet1!#REF!,Sheet1!$K$649,Sheet1!#REF!,Sheet1!$K$650</definedName>
    <definedName name="QB_FORMULA_77" localSheetId="1" hidden="1">Sheet1!#REF!,Sheet1!$K$651,Sheet1!#REF!,Sheet1!$K$652,Sheet1!#REF!,Sheet1!$K$653,Sheet1!#REF!,Sheet1!$K$654,Sheet1!#REF!,Sheet1!$K$655,Sheet1!#REF!,Sheet1!$K$656,Sheet1!#REF!,Sheet1!$K$657,Sheet1!#REF!,Sheet1!$K$658</definedName>
    <definedName name="QB_FORMULA_78" localSheetId="1" hidden="1">Sheet1!#REF!,Sheet1!$K$659,Sheet1!#REF!,Sheet1!$K$660,Sheet1!#REF!,Sheet1!$K$661,Sheet1!#REF!,Sheet1!#REF!,Sheet1!$K$663,Sheet1!#REF!,Sheet1!#REF!,Sheet1!$K$665,Sheet1!#REF!,Sheet1!$K$666,Sheet1!#REF!,Sheet1!$K$667</definedName>
    <definedName name="QB_FORMULA_79" localSheetId="1" hidden="1">Sheet1!#REF!,Sheet1!$K$668,Sheet1!#REF!,Sheet1!#REF!,Sheet1!$K$670,Sheet1!#REF!,Sheet1!$K$671,Sheet1!#REF!,Sheet1!$K$672,Sheet1!#REF!,Sheet1!#REF!,Sheet1!$K$674,Sheet1!#REF!,Sheet1!#REF!,Sheet1!$K$676,Sheet1!#REF!</definedName>
    <definedName name="QB_FORMULA_8" localSheetId="1" hidden="1">Sheet1!#REF!,Sheet1!#REF!,Sheet1!$K$71,Sheet1!#REF!,Sheet1!$K$72,Sheet1!#REF!,Sheet1!#REF!,Sheet1!$K$74,Sheet1!#REF!,Sheet1!$K$75,Sheet1!#REF!,Sheet1!$K$76,Sheet1!#REF!,Sheet1!$K$77,Sheet1!#REF!,Sheet1!$K$78</definedName>
    <definedName name="QB_FORMULA_80" localSheetId="1" hidden="1">Sheet1!$K$677,Sheet1!#REF!,Sheet1!$K$678,Sheet1!#REF!,Sheet1!$K$679,Sheet1!#REF!,Sheet1!#REF!,Sheet1!$K$681,Sheet1!#REF!,Sheet1!$K$682,Sheet1!#REF!,Sheet1!$K$683,Sheet1!#REF!,Sheet1!#REF!,Sheet1!$K$685,Sheet1!#REF!</definedName>
    <definedName name="QB_FORMULA_81" localSheetId="1" hidden="1">Sheet1!$K$686,Sheet1!#REF!,Sheet1!$K$687,Sheet1!#REF!,Sheet1!$K$688,Sheet1!#REF!,Sheet1!$K$689,Sheet1!#REF!,Sheet1!$K$690,Sheet1!#REF!,Sheet1!$K$691,Sheet1!#REF!,Sheet1!$K$692,Sheet1!#REF!,Sheet1!$K$693,Sheet1!#REF!</definedName>
    <definedName name="QB_FORMULA_82" localSheetId="1" hidden="1">Sheet1!$K$694,Sheet1!#REF!,Sheet1!$K$695,Sheet1!#REF!,Sheet1!$K$696,Sheet1!#REF!,Sheet1!$K$697,Sheet1!#REF!,Sheet1!$K$698,Sheet1!#REF!,Sheet1!$K$699,Sheet1!#REF!,Sheet1!$K$700,Sheet1!#REF!,Sheet1!$K$701,Sheet1!#REF!</definedName>
    <definedName name="QB_FORMULA_83" localSheetId="1" hidden="1">Sheet1!#REF!,Sheet1!$K$703,Sheet1!#REF!,Sheet1!$K$704,Sheet1!#REF!,Sheet1!$K$705,Sheet1!#REF!,Sheet1!$K$706,Sheet1!#REF!,Sheet1!#REF!,Sheet1!#REF!,Sheet1!$K$709,Sheet1!#REF!,Sheet1!$K$710,Sheet1!#REF!,Sheet1!$K$711</definedName>
    <definedName name="QB_FORMULA_84" localSheetId="1" hidden="1">Sheet1!#REF!,Sheet1!$K$712,Sheet1!#REF!,Sheet1!$K$713,Sheet1!#REF!,Sheet1!$K$714,Sheet1!#REF!,Sheet1!$K$715,Sheet1!#REF!,Sheet1!$K$716,Sheet1!#REF!,Sheet1!$K$717,Sheet1!#REF!,Sheet1!$K$718,Sheet1!#REF!,Sheet1!$K$719</definedName>
    <definedName name="QB_FORMULA_85" localSheetId="1" hidden="1">Sheet1!#REF!,Sheet1!$K$720,Sheet1!#REF!,Sheet1!$K$721,Sheet1!#REF!,Sheet1!$K$722,Sheet1!#REF!,Sheet1!$K$723,Sheet1!#REF!,Sheet1!$K$724,Sheet1!#REF!,Sheet1!$K$725,Sheet1!#REF!,Sheet1!$K$726,Sheet1!#REF!,Sheet1!$K$727</definedName>
    <definedName name="QB_FORMULA_86" localSheetId="1" hidden="1">Sheet1!#REF!,Sheet1!$K$728,Sheet1!#REF!,Sheet1!$K$729,Sheet1!#REF!,Sheet1!#REF!,Sheet1!$K$731,Sheet1!#REF!,Sheet1!$K$732,Sheet1!#REF!,Sheet1!$K$733,Sheet1!#REF!,Sheet1!$K$734,Sheet1!#REF!,Sheet1!$K$735,Sheet1!#REF!</definedName>
    <definedName name="QB_FORMULA_87" localSheetId="1" hidden="1">Sheet1!$K$736,Sheet1!#REF!,Sheet1!$K$737,Sheet1!#REF!,Sheet1!$K$738,Sheet1!#REF!,Sheet1!$K$739,Sheet1!#REF!,Sheet1!$K$740,Sheet1!#REF!,Sheet1!$K$741,Sheet1!#REF!,Sheet1!$K$742,Sheet1!#REF!,Sheet1!$K$743,Sheet1!#REF!</definedName>
    <definedName name="QB_FORMULA_88" localSheetId="1" hidden="1">Sheet1!$K$744,Sheet1!#REF!,Sheet1!$K$745,Sheet1!#REF!,Sheet1!#REF!,Sheet1!#REF!,Sheet1!$K$748,Sheet1!#REF!,Sheet1!#REF!,Sheet1!$K$750,Sheet1!#REF!,Sheet1!$K$751,Sheet1!#REF!,Sheet1!$K$752,Sheet1!#REF!,Sheet1!$K$753</definedName>
    <definedName name="QB_FORMULA_89" localSheetId="1" hidden="1">Sheet1!#REF!,Sheet1!$K$754,Sheet1!#REF!,Sheet1!$K$755,Sheet1!#REF!,Sheet1!$K$756,Sheet1!#REF!,Sheet1!$K$757,Sheet1!#REF!,Sheet1!$K$758,Sheet1!#REF!,Sheet1!$K$759,Sheet1!#REF!,Sheet1!$K$760,Sheet1!#REF!,Sheet1!$K$761</definedName>
    <definedName name="QB_FORMULA_9" localSheetId="1" hidden="1">Sheet1!#REF!,Sheet1!$K$79,Sheet1!#REF!,Sheet1!$K$80,Sheet1!#REF!,Sheet1!$K$81,Sheet1!#REF!,Sheet1!$K$82,Sheet1!#REF!,Sheet1!$K$83,Sheet1!#REF!,Sheet1!$K$84,Sheet1!#REF!,Sheet1!$K$85,Sheet1!#REF!,Sheet1!#REF!</definedName>
    <definedName name="QB_FORMULA_90" localSheetId="1" hidden="1">Sheet1!#REF!,Sheet1!$K$762,Sheet1!#REF!,Sheet1!$K$763,Sheet1!#REF!,Sheet1!$K$764,Sheet1!#REF!,Sheet1!$K$765,Sheet1!#REF!,Sheet1!#REF!,Sheet1!$K$767,Sheet1!#REF!,Sheet1!$K$768,Sheet1!#REF!,Sheet1!$K$769,Sheet1!#REF!</definedName>
    <definedName name="QB_FORMULA_91" localSheetId="1" hidden="1">Sheet1!$K$770,Sheet1!#REF!,Sheet1!$K$771,Sheet1!#REF!,Sheet1!$K$772,Sheet1!#REF!,Sheet1!$K$773,Sheet1!#REF!,Sheet1!$K$774,Sheet1!#REF!,Sheet1!#REF!,Sheet1!$K$776,Sheet1!#REF!,Sheet1!$K$777,Sheet1!#REF!,Sheet1!$K$778</definedName>
    <definedName name="QB_FORMULA_92" localSheetId="1" hidden="1">Sheet1!#REF!,Sheet1!$K$779,Sheet1!#REF!,Sheet1!$K$780,Sheet1!#REF!,Sheet1!$K$781,Sheet1!#REF!,Sheet1!$K$782,Sheet1!#REF!,Sheet1!$K$783,Sheet1!#REF!,Sheet1!$K$784,Sheet1!#REF!,Sheet1!$K$785,Sheet1!#REF!,Sheet1!$K$786</definedName>
    <definedName name="QB_FORMULA_93" localSheetId="1" hidden="1">Sheet1!#REF!,Sheet1!$K$787,Sheet1!#REF!,Sheet1!$K$788,Sheet1!#REF!,Sheet1!$K$789,Sheet1!#REF!,Sheet1!$K$790,Sheet1!#REF!,Sheet1!$K$791,Sheet1!#REF!,Sheet1!$K$792,Sheet1!#REF!,Sheet1!$K$793,Sheet1!#REF!,Sheet1!$K$794</definedName>
    <definedName name="QB_FORMULA_94" localSheetId="1" hidden="1">Sheet1!#REF!,Sheet1!$K$795,Sheet1!#REF!,Sheet1!$K$796,Sheet1!#REF!,Sheet1!$K$797,Sheet1!#REF!,Sheet1!$K$798,Sheet1!#REF!,Sheet1!$K$799,Sheet1!#REF!,Sheet1!#REF!,Sheet1!#REF!,Sheet1!$K$802,Sheet1!#REF!,Sheet1!$K$803</definedName>
    <definedName name="QB_FORMULA_95" localSheetId="1" hidden="1">Sheet1!#REF!,Sheet1!$K$804,Sheet1!#REF!,Sheet1!$K$805,Sheet1!#REF!,Sheet1!$K$806,Sheet1!#REF!,Sheet1!$K$807,Sheet1!#REF!,Sheet1!#REF!,Sheet1!$K$809,Sheet1!#REF!,Sheet1!$K$810,Sheet1!#REF!,Sheet1!$K$811,Sheet1!#REF!</definedName>
    <definedName name="QB_FORMULA_96" localSheetId="1" hidden="1">Sheet1!$K$812,Sheet1!#REF!,Sheet1!$K$813,Sheet1!#REF!,Sheet1!$K$814,Sheet1!#REF!,Sheet1!$K$815,Sheet1!#REF!,Sheet1!$K$816,Sheet1!#REF!,Sheet1!$K$817,Sheet1!#REF!,Sheet1!$K$818,Sheet1!#REF!,Sheet1!$K$819,Sheet1!#REF!</definedName>
    <definedName name="QB_FORMULA_97" localSheetId="1" hidden="1">Sheet1!#REF!,Sheet1!#REF!,Sheet1!$K$822,Sheet1!#REF!,Sheet1!$K$823,Sheet1!#REF!,Sheet1!$K$824,Sheet1!#REF!,Sheet1!$K$825,Sheet1!#REF!,Sheet1!#REF!,Sheet1!$K$827,Sheet1!#REF!,Sheet1!$K$828,Sheet1!#REF!,Sheet1!$K$829</definedName>
    <definedName name="QB_FORMULA_98" localSheetId="1" hidden="1">Sheet1!#REF!,Sheet1!#REF!,Sheet1!$K$831,Sheet1!#REF!,Sheet1!$K$832,Sheet1!#REF!,Sheet1!#REF!,Sheet1!$K$834,Sheet1!#REF!,Sheet1!$K$835,Sheet1!#REF!,Sheet1!$K$836,Sheet1!#REF!,Sheet1!$K$837,Sheet1!#REF!,Sheet1!$K$838</definedName>
    <definedName name="QB_FORMULA_99" localSheetId="1" hidden="1">Sheet1!#REF!,Sheet1!$K$839,Sheet1!#REF!,Sheet1!$K$840,Sheet1!#REF!,Sheet1!$K$841,Sheet1!#REF!,Sheet1!$K$842,Sheet1!#REF!,Sheet1!$K$843,Sheet1!#REF!,Sheet1!$K$844,Sheet1!#REF!,Sheet1!$K$845,Sheet1!#REF!,Sheet1!$K$846</definedName>
    <definedName name="QB_ROW_2930" localSheetId="1" hidden="1">Sheet1!#REF!</definedName>
    <definedName name="QBCANSUPPORTUPDATE" localSheetId="1">TRUE</definedName>
    <definedName name="QBCOMPANYFILENAME" localSheetId="1">"Y:\QB Backup working file - 2026.01.07\Restore file\active solustions.qbw"</definedName>
    <definedName name="QBENDDATE" localSheetId="1">20260331</definedName>
    <definedName name="QBHEADERSONSCREEN" localSheetId="1">FALSE</definedName>
    <definedName name="QBMETADATASIZE" localSheetId="1">7622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"9e52ac19a38049d48287782f3521b125"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8</definedName>
    <definedName name="QBREPORTSUBCOLAXIS" localSheetId="1">0</definedName>
    <definedName name="QBREPORTTYPE" localSheetId="1">230</definedName>
    <definedName name="QBROWHEADERS" localSheetId="1">1</definedName>
    <definedName name="QBSTARTDATE" localSheetId="1">20250401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84" i="1" l="1"/>
  <c r="K983" i="1"/>
  <c r="K982" i="1"/>
  <c r="K981" i="1"/>
  <c r="K979" i="1"/>
  <c r="K978" i="1"/>
  <c r="K977" i="1"/>
  <c r="K976" i="1"/>
  <c r="K975" i="1"/>
  <c r="K974" i="1"/>
  <c r="K973" i="1"/>
  <c r="K972" i="1"/>
  <c r="K971" i="1"/>
  <c r="K970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89" i="1"/>
  <c r="K888" i="1"/>
  <c r="K887" i="1"/>
  <c r="K886" i="1"/>
  <c r="K885" i="1"/>
  <c r="K884" i="1"/>
  <c r="K883" i="1"/>
  <c r="K882" i="1"/>
  <c r="K881" i="1"/>
  <c r="K880" i="1"/>
  <c r="K879" i="1"/>
  <c r="K877" i="1"/>
  <c r="K876" i="1"/>
  <c r="K875" i="1"/>
  <c r="K874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4" i="1"/>
  <c r="K853" i="1"/>
  <c r="K852" i="1"/>
  <c r="K851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2" i="1"/>
  <c r="K831" i="1"/>
  <c r="K829" i="1"/>
  <c r="K828" i="1"/>
  <c r="K827" i="1"/>
  <c r="K825" i="1"/>
  <c r="K824" i="1"/>
  <c r="K823" i="1"/>
  <c r="K822" i="1"/>
  <c r="K819" i="1"/>
  <c r="K818" i="1"/>
  <c r="K817" i="1"/>
  <c r="K816" i="1"/>
  <c r="K815" i="1"/>
  <c r="K814" i="1"/>
  <c r="K813" i="1"/>
  <c r="K812" i="1"/>
  <c r="K811" i="1"/>
  <c r="K810" i="1"/>
  <c r="K809" i="1"/>
  <c r="K807" i="1"/>
  <c r="K806" i="1"/>
  <c r="K805" i="1"/>
  <c r="K804" i="1"/>
  <c r="K803" i="1"/>
  <c r="K802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4" i="1"/>
  <c r="K773" i="1"/>
  <c r="K772" i="1"/>
  <c r="K771" i="1"/>
  <c r="K770" i="1"/>
  <c r="K769" i="1"/>
  <c r="K768" i="1"/>
  <c r="K767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8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6" i="1"/>
  <c r="K705" i="1"/>
  <c r="K704" i="1"/>
  <c r="K703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3" i="1"/>
  <c r="K682" i="1"/>
  <c r="K681" i="1"/>
  <c r="K679" i="1"/>
  <c r="K678" i="1"/>
  <c r="K677" i="1"/>
  <c r="K676" i="1"/>
  <c r="K674" i="1"/>
  <c r="K672" i="1"/>
  <c r="K671" i="1"/>
  <c r="K670" i="1"/>
  <c r="K668" i="1"/>
  <c r="K667" i="1"/>
  <c r="K666" i="1"/>
  <c r="K665" i="1"/>
  <c r="K663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09" i="1"/>
  <c r="K608" i="1"/>
  <c r="K607" i="1"/>
  <c r="K606" i="1"/>
  <c r="K605" i="1"/>
  <c r="K604" i="1"/>
  <c r="K603" i="1"/>
  <c r="K600" i="1"/>
  <c r="K599" i="1"/>
  <c r="K598" i="1"/>
  <c r="K597" i="1"/>
  <c r="K596" i="1"/>
  <c r="K595" i="1"/>
  <c r="K594" i="1"/>
  <c r="K593" i="1"/>
  <c r="K592" i="1"/>
  <c r="K591" i="1"/>
  <c r="K590" i="1"/>
  <c r="K588" i="1"/>
  <c r="K587" i="1"/>
  <c r="K585" i="1"/>
  <c r="K584" i="1"/>
  <c r="K583" i="1"/>
  <c r="K582" i="1"/>
  <c r="K581" i="1"/>
  <c r="K580" i="1"/>
  <c r="K579" i="1"/>
  <c r="K577" i="1"/>
  <c r="K576" i="1"/>
  <c r="K574" i="1"/>
  <c r="K573" i="1"/>
  <c r="K572" i="1"/>
  <c r="K571" i="1"/>
  <c r="K569" i="1"/>
  <c r="K568" i="1"/>
  <c r="K567" i="1"/>
  <c r="K566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4" i="1"/>
  <c r="K483" i="1"/>
  <c r="K482" i="1"/>
  <c r="K481" i="1"/>
  <c r="K480" i="1"/>
  <c r="K478" i="1"/>
  <c r="K477" i="1"/>
  <c r="K476" i="1"/>
  <c r="K475" i="1"/>
  <c r="K474" i="1"/>
  <c r="K472" i="1"/>
  <c r="K471" i="1"/>
  <c r="K469" i="1"/>
  <c r="K468" i="1"/>
  <c r="K467" i="1"/>
  <c r="K466" i="1"/>
  <c r="K464" i="1"/>
  <c r="K463" i="1"/>
  <c r="K462" i="1"/>
  <c r="K461" i="1"/>
  <c r="K460" i="1"/>
  <c r="K459" i="1"/>
  <c r="K458" i="1"/>
  <c r="K456" i="1"/>
  <c r="K455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29" i="1"/>
  <c r="K428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8" i="1"/>
  <c r="K377" i="1"/>
  <c r="K376" i="1"/>
  <c r="K375" i="1"/>
  <c r="K374" i="1"/>
  <c r="K373" i="1"/>
  <c r="K372" i="1"/>
  <c r="K370" i="1"/>
  <c r="K369" i="1"/>
  <c r="K368" i="1"/>
  <c r="K367" i="1"/>
  <c r="K365" i="1"/>
  <c r="K364" i="1"/>
  <c r="K362" i="1"/>
  <c r="K361" i="1"/>
  <c r="K360" i="1"/>
  <c r="K359" i="1"/>
  <c r="K358" i="1"/>
  <c r="K357" i="1"/>
  <c r="K356" i="1"/>
  <c r="K355" i="1"/>
  <c r="K354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5" i="1"/>
  <c r="K283" i="1"/>
  <c r="K282" i="1"/>
  <c r="K279" i="1"/>
  <c r="K278" i="1"/>
  <c r="K277" i="1"/>
  <c r="K276" i="1"/>
  <c r="K275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2" i="1"/>
  <c r="K221" i="1"/>
  <c r="K220" i="1"/>
  <c r="K218" i="1"/>
  <c r="K217" i="1"/>
  <c r="K216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5" i="1"/>
  <c r="K183" i="1"/>
  <c r="K182" i="1"/>
  <c r="K181" i="1"/>
  <c r="K180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4" i="1"/>
  <c r="K143" i="1"/>
  <c r="K142" i="1"/>
  <c r="K141" i="1"/>
  <c r="K140" i="1"/>
  <c r="K139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4" i="1"/>
  <c r="K123" i="1"/>
  <c r="K122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5" i="1"/>
  <c r="K84" i="1"/>
  <c r="K83" i="1"/>
  <c r="K82" i="1"/>
  <c r="K81" i="1"/>
  <c r="K80" i="1"/>
  <c r="K79" i="1"/>
  <c r="K78" i="1"/>
  <c r="K77" i="1"/>
  <c r="K76" i="1"/>
  <c r="K75" i="1"/>
  <c r="K74" i="1"/>
  <c r="K72" i="1"/>
  <c r="K71" i="1"/>
  <c r="K69" i="1"/>
  <c r="K68" i="1"/>
  <c r="K67" i="1"/>
  <c r="K66" i="1"/>
  <c r="K63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1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985" i="1" l="1"/>
</calcChain>
</file>

<file path=xl/sharedStrings.xml><?xml version="1.0" encoding="utf-8"?>
<sst xmlns="http://schemas.openxmlformats.org/spreadsheetml/2006/main" count="6858" uniqueCount="937">
  <si>
    <t>Type</t>
  </si>
  <si>
    <t>Date</t>
  </si>
  <si>
    <t>Num</t>
  </si>
  <si>
    <t>Name</t>
  </si>
  <si>
    <t>Item</t>
  </si>
  <si>
    <t>Account</t>
  </si>
  <si>
    <t>Rep</t>
  </si>
  <si>
    <t>Sales Tax Code</t>
  </si>
  <si>
    <t>Qty</t>
  </si>
  <si>
    <t>Sales Price</t>
  </si>
  <si>
    <t>Amount</t>
  </si>
  <si>
    <t>Invoice</t>
  </si>
  <si>
    <t>Credit Memo</t>
  </si>
  <si>
    <t>AS010551</t>
  </si>
  <si>
    <t>AS010552</t>
  </si>
  <si>
    <t>AS010553</t>
  </si>
  <si>
    <t>AS010554</t>
  </si>
  <si>
    <t>AS010555</t>
  </si>
  <si>
    <t>AS010556</t>
  </si>
  <si>
    <t>AS010557</t>
  </si>
  <si>
    <t>AS010558</t>
  </si>
  <si>
    <t>AS010559</t>
  </si>
  <si>
    <t>AS010560</t>
  </si>
  <si>
    <t>AS010561</t>
  </si>
  <si>
    <t>AS010562</t>
  </si>
  <si>
    <t>AS010563</t>
  </si>
  <si>
    <t>AS010564</t>
  </si>
  <si>
    <t>AS010565</t>
  </si>
  <si>
    <t>AS010566</t>
  </si>
  <si>
    <t>AS010567</t>
  </si>
  <si>
    <t>AS010568</t>
  </si>
  <si>
    <t>AS010569</t>
  </si>
  <si>
    <t>AS010570</t>
  </si>
  <si>
    <t>AS010571</t>
  </si>
  <si>
    <t>AS010572</t>
  </si>
  <si>
    <t>AS010573</t>
  </si>
  <si>
    <t>AS010574</t>
  </si>
  <si>
    <t>AS010575</t>
  </si>
  <si>
    <t>AS010576</t>
  </si>
  <si>
    <t>AS010577</t>
  </si>
  <si>
    <t>AS010578</t>
  </si>
  <si>
    <t>AS010579</t>
  </si>
  <si>
    <t>AS010580</t>
  </si>
  <si>
    <t>AS010581</t>
  </si>
  <si>
    <t>AS010582</t>
  </si>
  <si>
    <t>AS010583</t>
  </si>
  <si>
    <t>AS010584</t>
  </si>
  <si>
    <t>AS010585</t>
  </si>
  <si>
    <t>AS010586</t>
  </si>
  <si>
    <t>AS010587</t>
  </si>
  <si>
    <t>AS010588</t>
  </si>
  <si>
    <t>AS010589</t>
  </si>
  <si>
    <t>AS010590</t>
  </si>
  <si>
    <t>AS010591</t>
  </si>
  <si>
    <t>AS010592</t>
  </si>
  <si>
    <t>AS010593</t>
  </si>
  <si>
    <t>AS010594</t>
  </si>
  <si>
    <t>AS010595</t>
  </si>
  <si>
    <t>AS010596</t>
  </si>
  <si>
    <t>AS010597</t>
  </si>
  <si>
    <t>AS010598</t>
  </si>
  <si>
    <t>AS010599</t>
  </si>
  <si>
    <t>AS010600</t>
  </si>
  <si>
    <t>AS010601</t>
  </si>
  <si>
    <t>AS010602</t>
  </si>
  <si>
    <t>AS010603</t>
  </si>
  <si>
    <t>AS010604</t>
  </si>
  <si>
    <t>AS00111</t>
  </si>
  <si>
    <t>AS010605</t>
  </si>
  <si>
    <t>AS010606</t>
  </si>
  <si>
    <t>AS010607</t>
  </si>
  <si>
    <t>AS010608</t>
  </si>
  <si>
    <t>AS010609</t>
  </si>
  <si>
    <t>AS010610</t>
  </si>
  <si>
    <t>AS010611</t>
  </si>
  <si>
    <t>AS010612</t>
  </si>
  <si>
    <t>AS010613</t>
  </si>
  <si>
    <t>AS010614</t>
  </si>
  <si>
    <t>AS010615</t>
  </si>
  <si>
    <t>AS010616</t>
  </si>
  <si>
    <t>AS010617</t>
  </si>
  <si>
    <t>AS010618</t>
  </si>
  <si>
    <t>AS010619</t>
  </si>
  <si>
    <t>AS010620</t>
  </si>
  <si>
    <t>AS010621</t>
  </si>
  <si>
    <t>AS010622</t>
  </si>
  <si>
    <t>AS010623</t>
  </si>
  <si>
    <t>AS010624</t>
  </si>
  <si>
    <t>AS010625</t>
  </si>
  <si>
    <t>AS010626</t>
  </si>
  <si>
    <t>AS010627</t>
  </si>
  <si>
    <t>AS010628</t>
  </si>
  <si>
    <t>AS010629</t>
  </si>
  <si>
    <t>AS010630</t>
  </si>
  <si>
    <t>AS010631</t>
  </si>
  <si>
    <t>AS010632</t>
  </si>
  <si>
    <t>AS010633</t>
  </si>
  <si>
    <t>AS010634</t>
  </si>
  <si>
    <t>AS010635</t>
  </si>
  <si>
    <t>AS010636</t>
  </si>
  <si>
    <t>AS010637</t>
  </si>
  <si>
    <t>AS010638</t>
  </si>
  <si>
    <t>AS010639</t>
  </si>
  <si>
    <t>AS010640</t>
  </si>
  <si>
    <t>AS010641</t>
  </si>
  <si>
    <t>AS010642</t>
  </si>
  <si>
    <t>AS010643</t>
  </si>
  <si>
    <t>AS010644</t>
  </si>
  <si>
    <t>AS010645</t>
  </si>
  <si>
    <t>AS010646</t>
  </si>
  <si>
    <t>AS010647</t>
  </si>
  <si>
    <t>AS010648</t>
  </si>
  <si>
    <t>AS010649</t>
  </si>
  <si>
    <t>AS010650</t>
  </si>
  <si>
    <t>AS010651</t>
  </si>
  <si>
    <t>AS010652</t>
  </si>
  <si>
    <t>AS010653</t>
  </si>
  <si>
    <t>AS010654</t>
  </si>
  <si>
    <t>AS010655</t>
  </si>
  <si>
    <t>AS010656</t>
  </si>
  <si>
    <t>AS010657</t>
  </si>
  <si>
    <t>AS010658</t>
  </si>
  <si>
    <t>AS010659</t>
  </si>
  <si>
    <t>AS010660</t>
  </si>
  <si>
    <t>AS010661</t>
  </si>
  <si>
    <t>AS010662</t>
  </si>
  <si>
    <t>AS010663</t>
  </si>
  <si>
    <t>AS010664</t>
  </si>
  <si>
    <t>AS010665</t>
  </si>
  <si>
    <t>AS010666</t>
  </si>
  <si>
    <t>AS010667</t>
  </si>
  <si>
    <t>AS010668</t>
  </si>
  <si>
    <t>AS010669</t>
  </si>
  <si>
    <t>AS010670</t>
  </si>
  <si>
    <t>AS010671</t>
  </si>
  <si>
    <t>AS010672</t>
  </si>
  <si>
    <t>AS010673</t>
  </si>
  <si>
    <t>AS010674</t>
  </si>
  <si>
    <t>AS010675</t>
  </si>
  <si>
    <t>AS010676</t>
  </si>
  <si>
    <t>AS010677</t>
  </si>
  <si>
    <t>AS010678</t>
  </si>
  <si>
    <t>AS010679</t>
  </si>
  <si>
    <t>AS010680</t>
  </si>
  <si>
    <t>AS010681</t>
  </si>
  <si>
    <t>AS010682</t>
  </si>
  <si>
    <t>AS010683</t>
  </si>
  <si>
    <t>AS010684</t>
  </si>
  <si>
    <t>AS010685</t>
  </si>
  <si>
    <t>AS010686</t>
  </si>
  <si>
    <t>AS010687</t>
  </si>
  <si>
    <t>AS010688</t>
  </si>
  <si>
    <t>AS010689</t>
  </si>
  <si>
    <t>AS010690</t>
  </si>
  <si>
    <t>AS010691</t>
  </si>
  <si>
    <t>AS010692</t>
  </si>
  <si>
    <t>AS010693</t>
  </si>
  <si>
    <t>AS010694</t>
  </si>
  <si>
    <t>AS010695</t>
  </si>
  <si>
    <t>AS010696</t>
  </si>
  <si>
    <t>AS00112</t>
  </si>
  <si>
    <t>AS010697</t>
  </si>
  <si>
    <t>AS010698</t>
  </si>
  <si>
    <t>AS010699</t>
  </si>
  <si>
    <t>AS010700</t>
  </si>
  <si>
    <t>AS010701</t>
  </si>
  <si>
    <t>AS010702</t>
  </si>
  <si>
    <t>AS010703</t>
  </si>
  <si>
    <t>AS010704</t>
  </si>
  <si>
    <t>AS010705</t>
  </si>
  <si>
    <t>AS010706</t>
  </si>
  <si>
    <t>AS010707</t>
  </si>
  <si>
    <t>AS010708</t>
  </si>
  <si>
    <t>AS010709</t>
  </si>
  <si>
    <t>AS010710</t>
  </si>
  <si>
    <t>AS010711</t>
  </si>
  <si>
    <t>AS010712</t>
  </si>
  <si>
    <t>AS010713</t>
  </si>
  <si>
    <t>AS010714</t>
  </si>
  <si>
    <t>AS010715</t>
  </si>
  <si>
    <t>AS010716</t>
  </si>
  <si>
    <t>AS010717</t>
  </si>
  <si>
    <t>AS010718</t>
  </si>
  <si>
    <t>AS010719</t>
  </si>
  <si>
    <t>AS010720</t>
  </si>
  <si>
    <t>AS010721</t>
  </si>
  <si>
    <t>AS010722</t>
  </si>
  <si>
    <t>AS010723</t>
  </si>
  <si>
    <t>AS010724</t>
  </si>
  <si>
    <t>AS010725</t>
  </si>
  <si>
    <t>AS010726</t>
  </si>
  <si>
    <t>AS010727</t>
  </si>
  <si>
    <t>AS010728</t>
  </si>
  <si>
    <t>AS010729</t>
  </si>
  <si>
    <t>AS010730</t>
  </si>
  <si>
    <t>AS010731</t>
  </si>
  <si>
    <t>AS010732</t>
  </si>
  <si>
    <t>AS010733</t>
  </si>
  <si>
    <t>AS010734</t>
  </si>
  <si>
    <t>AS010735</t>
  </si>
  <si>
    <t>AS00113</t>
  </si>
  <si>
    <t>AS00114</t>
  </si>
  <si>
    <t>AS010736</t>
  </si>
  <si>
    <t>AS010737</t>
  </si>
  <si>
    <t>AS010738</t>
  </si>
  <si>
    <t>AS010739</t>
  </si>
  <si>
    <t>AS010740</t>
  </si>
  <si>
    <t>AS010741</t>
  </si>
  <si>
    <t>AS010742</t>
  </si>
  <si>
    <t>AS010743</t>
  </si>
  <si>
    <t>AS010744</t>
  </si>
  <si>
    <t>AS010745</t>
  </si>
  <si>
    <t>AS010746</t>
  </si>
  <si>
    <t>AS010747</t>
  </si>
  <si>
    <t>AS010748</t>
  </si>
  <si>
    <t>AS010749</t>
  </si>
  <si>
    <t>AS010750</t>
  </si>
  <si>
    <t>AS010751</t>
  </si>
  <si>
    <t>AS010752</t>
  </si>
  <si>
    <t>AS010753</t>
  </si>
  <si>
    <t>AS010754</t>
  </si>
  <si>
    <t>AS010755</t>
  </si>
  <si>
    <t>AS010756</t>
  </si>
  <si>
    <t>AS010757</t>
  </si>
  <si>
    <t>AS010758</t>
  </si>
  <si>
    <t>AS010759</t>
  </si>
  <si>
    <t>AS010760</t>
  </si>
  <si>
    <t>AS010761</t>
  </si>
  <si>
    <t>AS010762</t>
  </si>
  <si>
    <t>AS010763</t>
  </si>
  <si>
    <t>AS010764</t>
  </si>
  <si>
    <t>AS010765</t>
  </si>
  <si>
    <t>AS010766</t>
  </si>
  <si>
    <t>AS010767</t>
  </si>
  <si>
    <t>AS010768</t>
  </si>
  <si>
    <t>AS010769</t>
  </si>
  <si>
    <t>AS010770</t>
  </si>
  <si>
    <t>AS010771</t>
  </si>
  <si>
    <t>AS010772</t>
  </si>
  <si>
    <t>AS010773</t>
  </si>
  <si>
    <t>AS010774</t>
  </si>
  <si>
    <t>AS010775</t>
  </si>
  <si>
    <t>AS010776</t>
  </si>
  <si>
    <t>AS010777</t>
  </si>
  <si>
    <t>AS010778</t>
  </si>
  <si>
    <t>AS010779</t>
  </si>
  <si>
    <t>AS010780</t>
  </si>
  <si>
    <t>AS010781</t>
  </si>
  <si>
    <t>AS010782</t>
  </si>
  <si>
    <t>AS010783</t>
  </si>
  <si>
    <t>AS010784</t>
  </si>
  <si>
    <t>AS010785</t>
  </si>
  <si>
    <t>AS010786</t>
  </si>
  <si>
    <t>AS010787</t>
  </si>
  <si>
    <t>AS010788</t>
  </si>
  <si>
    <t>AS010789</t>
  </si>
  <si>
    <t>AS010790</t>
  </si>
  <si>
    <t>AS010791</t>
  </si>
  <si>
    <t>AS010792</t>
  </si>
  <si>
    <t>AS010793</t>
  </si>
  <si>
    <t>AS010794</t>
  </si>
  <si>
    <t>AS010795</t>
  </si>
  <si>
    <t>AS00115</t>
  </si>
  <si>
    <t>AS010796</t>
  </si>
  <si>
    <t>AS010797</t>
  </si>
  <si>
    <t>AS010798</t>
  </si>
  <si>
    <t>AS010799</t>
  </si>
  <si>
    <t>AS010800</t>
  </si>
  <si>
    <t>AS010801</t>
  </si>
  <si>
    <t>AS010802</t>
  </si>
  <si>
    <t>AS010803</t>
  </si>
  <si>
    <t>AS010804</t>
  </si>
  <si>
    <t>AS010805</t>
  </si>
  <si>
    <t>AS010806</t>
  </si>
  <si>
    <t>AS010807</t>
  </si>
  <si>
    <t>AS010808</t>
  </si>
  <si>
    <t>AS010809</t>
  </si>
  <si>
    <t>AS010810</t>
  </si>
  <si>
    <t>AS010811</t>
  </si>
  <si>
    <t>AS010812</t>
  </si>
  <si>
    <t>AS010813</t>
  </si>
  <si>
    <t>AS010814</t>
  </si>
  <si>
    <t>AS010815</t>
  </si>
  <si>
    <t>AS010816</t>
  </si>
  <si>
    <t>AS010817</t>
  </si>
  <si>
    <t>AS010818</t>
  </si>
  <si>
    <t>AS010819</t>
  </si>
  <si>
    <t>AS010820</t>
  </si>
  <si>
    <t>AS010821</t>
  </si>
  <si>
    <t>AS010822</t>
  </si>
  <si>
    <t>AS010823</t>
  </si>
  <si>
    <t>AS010824</t>
  </si>
  <si>
    <t>AS010825</t>
  </si>
  <si>
    <t>AS010826</t>
  </si>
  <si>
    <t>AS00116</t>
  </si>
  <si>
    <t>AS010827</t>
  </si>
  <si>
    <t>AS010828</t>
  </si>
  <si>
    <t>AS010829</t>
  </si>
  <si>
    <t>AS010830</t>
  </si>
  <si>
    <t>AS010831</t>
  </si>
  <si>
    <t>AS010832</t>
  </si>
  <si>
    <t>AS010833</t>
  </si>
  <si>
    <t>AS010834</t>
  </si>
  <si>
    <t>AS010835</t>
  </si>
  <si>
    <t>AS010836</t>
  </si>
  <si>
    <t>AS010837</t>
  </si>
  <si>
    <t>AS010838</t>
  </si>
  <si>
    <t>AS010839</t>
  </si>
  <si>
    <t>AS010840</t>
  </si>
  <si>
    <t>AS010841</t>
  </si>
  <si>
    <t>AS010842</t>
  </si>
  <si>
    <t>AS010843</t>
  </si>
  <si>
    <t>Base Hp (Pvt) Ltd</t>
  </si>
  <si>
    <t>Barclays Computers (Pvt) Ltd</t>
  </si>
  <si>
    <t>Liyakta Office Systems (Pvt) Ltd</t>
  </si>
  <si>
    <t>ARC ONE (Pvt) Ltd</t>
  </si>
  <si>
    <t>Rapidventure (Pvt) Ltd</t>
  </si>
  <si>
    <t>POWER HOUSE (PVT) LTD</t>
  </si>
  <si>
    <t>E-Net Integrated Solutions (Pvt) Ltd</t>
  </si>
  <si>
    <t>Star Technology</t>
  </si>
  <si>
    <t>E Con Network (Pvt) Ltd</t>
  </si>
  <si>
    <t>Enash Global (Pvt) Ltd</t>
  </si>
  <si>
    <t>Data Management Systems (Pvt) Limited</t>
  </si>
  <si>
    <t>Sampath I T Solutions Limited</t>
  </si>
  <si>
    <t>MM Trade Stationers (Pvt) Ltd.</t>
  </si>
  <si>
    <t>Fentons Ltd</t>
  </si>
  <si>
    <t>Hexar Evolution (Pvt) Ltd</t>
  </si>
  <si>
    <t>Ceylinco General Insurance Limited</t>
  </si>
  <si>
    <t>ABSOLUTE BUSINESS SOLUTIONS ( PVT) LTD</t>
  </si>
  <si>
    <t>Softlogic Information Technologies (Pvt)</t>
  </si>
  <si>
    <t>Techtron Integrated Solutions (Pvt) Ltd</t>
  </si>
  <si>
    <t>THE COMPUTER CENTER (PVT) LTD</t>
  </si>
  <si>
    <t>TechBio Distribution Lanka (Pvt) Ltd</t>
  </si>
  <si>
    <t>People's Merchant Finance PLC</t>
  </si>
  <si>
    <t>AL - ARAF HOTELS &amp; RESORT (PVT) LTD</t>
  </si>
  <si>
    <t>LANKA COMMODITY BROKERS LTD</t>
  </si>
  <si>
    <t>LANKA MOUNT CASTLE (PVT) LTD</t>
  </si>
  <si>
    <t>We Effect Country Office</t>
  </si>
  <si>
    <t>Southern Technologies</t>
  </si>
  <si>
    <t>Bharat Aponso</t>
  </si>
  <si>
    <t>Adapt Information Technologies</t>
  </si>
  <si>
    <t>NSK Media Systems (Pvt) Ltd</t>
  </si>
  <si>
    <t>Ncinga (Pvt) Ltd</t>
  </si>
  <si>
    <t>I M Solutions</t>
  </si>
  <si>
    <t>RK Computers</t>
  </si>
  <si>
    <t>E Tech IT Solutions Pvt Ltd</t>
  </si>
  <si>
    <t>Studio Lakdam</t>
  </si>
  <si>
    <t>Byte Bolster solution</t>
  </si>
  <si>
    <t>Apex Business Solutions PVT Ltd.</t>
  </si>
  <si>
    <t>FT Soft (Pvt) Ltd</t>
  </si>
  <si>
    <t>Computerage (Pvt) Ltd</t>
  </si>
  <si>
    <t>ABC Computers</t>
  </si>
  <si>
    <t>WinSoft Technologies (Pvt)Ltd</t>
  </si>
  <si>
    <t>The Foto Cube</t>
  </si>
  <si>
    <t>SUDARSHANA SENADHEERA ARCHITECTS (PVT) LT</t>
  </si>
  <si>
    <t>Cameralk (Pvt) Ltd</t>
  </si>
  <si>
    <t>ANVERALLY &amp; SONS (PVT) LTD</t>
  </si>
  <si>
    <t>Survey Department</t>
  </si>
  <si>
    <t>SC Printing International (Pvt) Ltd</t>
  </si>
  <si>
    <t>Asiri Surgical Hospital</t>
  </si>
  <si>
    <t>D. Samson Industries (Pvt) Ltd</t>
  </si>
  <si>
    <t>Mr.Chirath</t>
  </si>
  <si>
    <t>MAS Fabrics (Pvt) Ltd</t>
  </si>
  <si>
    <t>M.A Sirimal Die Cutter Makers</t>
  </si>
  <si>
    <t>Elegant Knitting International</t>
  </si>
  <si>
    <t>Infinity IT Solutions</t>
  </si>
  <si>
    <t>ICC Inernational Construction Consortium</t>
  </si>
  <si>
    <t>LIZZY-B CANADA (PVT) LTD</t>
  </si>
  <si>
    <t>Pretec Systems</t>
  </si>
  <si>
    <t>CK-CCTV Security System (pvt) Ltd</t>
  </si>
  <si>
    <t>TYAX (PVT) LTD</t>
  </si>
  <si>
    <t>Studio Creative Minds</t>
  </si>
  <si>
    <t>VS Information Systems (Pvt) Ltd</t>
  </si>
  <si>
    <t>Lakseya Digital Colour Lab &amp;</t>
  </si>
  <si>
    <t>Gadgetbox</t>
  </si>
  <si>
    <t>KBSL Information Technologies Ltd</t>
  </si>
  <si>
    <t>NOLIMIT</t>
  </si>
  <si>
    <t>Mr Amila Nuwan</t>
  </si>
  <si>
    <t>Sourcecode-LK</t>
  </si>
  <si>
    <t>Intelliglow Solutions (Pvt) Ltd</t>
  </si>
  <si>
    <t>Alphasonic Technologies (Pvt) Ltd</t>
  </si>
  <si>
    <t>Tekki (Pvt) Ltd</t>
  </si>
  <si>
    <t>Micro Technology Lanka (Pvt) Ltd</t>
  </si>
  <si>
    <t>Tascon Technologies (Pvt) Ltd</t>
  </si>
  <si>
    <t>Paramount Technology</t>
  </si>
  <si>
    <t>Supervision Technology (Pvt) Ltd</t>
  </si>
  <si>
    <t>A-Networks (Pvt) Ltd</t>
  </si>
  <si>
    <t>M &amp; A Distributors (Pvt) Ltd</t>
  </si>
  <si>
    <t>SLT VisionCom (Pvt) Ltd</t>
  </si>
  <si>
    <t>Orikmo Technologies (Pvt) Ltd</t>
  </si>
  <si>
    <t>BlueChip Technical Services(Pvt)Ltd</t>
  </si>
  <si>
    <t>TechCERT</t>
  </si>
  <si>
    <t>Neo Solution</t>
  </si>
  <si>
    <t>EPG TECHNOLOGIES</t>
  </si>
  <si>
    <t>KRNS Contractor</t>
  </si>
  <si>
    <t>SILVERLINE INFORMATION TECHNOLOGY PVT LTD</t>
  </si>
  <si>
    <t>Green Digital Technologies (Pvt) Ltd</t>
  </si>
  <si>
    <t>Chris and Mayu Photographers</t>
  </si>
  <si>
    <t>Synergy Ventures</t>
  </si>
  <si>
    <t>Netsys Solutions (Pvt) Ltd</t>
  </si>
  <si>
    <t>Touch Solution Systems (Private) Limited</t>
  </si>
  <si>
    <t>Micro Solutions Information Systems (Pvt)</t>
  </si>
  <si>
    <t>Wiscom Information Technology (Pvt) Ltd</t>
  </si>
  <si>
    <t>Network Information Technologies (Pvt) Lt</t>
  </si>
  <si>
    <t>Edge Networks (PVT) LTD</t>
  </si>
  <si>
    <t>Softlogic Life Insurance PLC</t>
  </si>
  <si>
    <t>NHK Holdings International (Pvt) Ltd</t>
  </si>
  <si>
    <t>Manons Cine Combines</t>
  </si>
  <si>
    <t>MARS Network (Pvt) Ltd</t>
  </si>
  <si>
    <t>TWINTECH HOLDINGS PVT LTD</t>
  </si>
  <si>
    <t>Unity Systems Solutions</t>
  </si>
  <si>
    <t>E Technology System (Pvt) Ltd</t>
  </si>
  <si>
    <t>NextGen Holdings</t>
  </si>
  <si>
    <t>D.Samson Industries (Pvt) Ltd</t>
  </si>
  <si>
    <t>Premier IT Solutions (pvt) Ltd</t>
  </si>
  <si>
    <t>OAK INTEGRATED SYSTEMS PVT LTD</t>
  </si>
  <si>
    <t>Techno Mobile &amp; CCTV</t>
  </si>
  <si>
    <t>Debug Computer Peripherals (Pvt) Ltd</t>
  </si>
  <si>
    <t>Phoenix Ogilvy (Pvt) Ltd</t>
  </si>
  <si>
    <t>Pubudu Engineering (Pvt) Ltd</t>
  </si>
  <si>
    <t>Univell Enterprise Solutions (Pvt) Ltd</t>
  </si>
  <si>
    <t>GTS Technology Solutions (pvt) Ltd</t>
  </si>
  <si>
    <t>TIMEX GARMENTS (Pvt) LTD</t>
  </si>
  <si>
    <t>Adventa Holdings (Pvt) Ltd</t>
  </si>
  <si>
    <t>Brilliant Technologies</t>
  </si>
  <si>
    <t>Green City Global (pvt) Ltd</t>
  </si>
  <si>
    <t>Call Lanka Telecom (Pvt) Ltd</t>
  </si>
  <si>
    <t>Sevenx Lanka (Pvt) Ltd</t>
  </si>
  <si>
    <t>Prime Lands (Pvt.) Ltd</t>
  </si>
  <si>
    <t>Office Network (Pvt) Ltd</t>
  </si>
  <si>
    <t>Smart IT Solution-Kekeirawa</t>
  </si>
  <si>
    <t>Electro Net</t>
  </si>
  <si>
    <t>Smart Stock (Pvt) Ltd</t>
  </si>
  <si>
    <t>Gennext (Pvt) Ltd</t>
  </si>
  <si>
    <t>Shenid IT Solutions</t>
  </si>
  <si>
    <t>Openlink (PVT) Ltd</t>
  </si>
  <si>
    <t>Berlin Engineering (PVT) LTD</t>
  </si>
  <si>
    <t>J Teem Solutions</t>
  </si>
  <si>
    <t>Information Technologies &amp; Enterprise Sol</t>
  </si>
  <si>
    <t>Ocnet Technologies</t>
  </si>
  <si>
    <t>X Press Solutions (Mr. Irfan)</t>
  </si>
  <si>
    <t>Discount</t>
  </si>
  <si>
    <t>HDD:HAT3300-4T (Synology 4TB Plus HDD)</t>
  </si>
  <si>
    <t>512GB NVme G3 SSD (512GB NVMe Gen3 SSD)</t>
  </si>
  <si>
    <t>Synology:DS423 (Synology DS423 4 Bay NAS)</t>
  </si>
  <si>
    <t>BDCOM:S1518-16P-330 (BDCOM S1518-16P-330 16Port Unmanaged Gigabit POE Switch)</t>
  </si>
  <si>
    <t>Synology:DS223j (Synology DS223j  )</t>
  </si>
  <si>
    <t>HDD:HAT3300-2T (Synology 2TB Plus Hard Drive)</t>
  </si>
  <si>
    <t>HDD:12 TB NAS (12 TB Seagate Ironwolf NAS Hard Drive)</t>
  </si>
  <si>
    <t>Draytek:Vigor 2915 (Draytek Vigor 2915 Security Appliance)</t>
  </si>
  <si>
    <t>Draytek</t>
  </si>
  <si>
    <t>HDD:HAT3310-16T (Synology 16TB Plus HDD)</t>
  </si>
  <si>
    <t>BDCOM:S1200-8P2G (BDCOM S1200-8P2G Switch)</t>
  </si>
  <si>
    <t>HDD:HAT3310-8T (Synology 8TB Plus Hard Drive)</t>
  </si>
  <si>
    <t>Acronis</t>
  </si>
  <si>
    <t>BDCOM:GSFP-SX-D</t>
  </si>
  <si>
    <t>BDCOM:S1500-8P2G (BDCOM S1500-8P2G Switch)</t>
  </si>
  <si>
    <t>BDCOM:S1500-24T (BDCOM S1500-24T Switch)</t>
  </si>
  <si>
    <t>S2900-24P4X (BDCOM S2900-24P4X Switch)</t>
  </si>
  <si>
    <t>Synology:RS1221RP+</t>
  </si>
  <si>
    <t>Synology:2 U Sliding Rail Kit</t>
  </si>
  <si>
    <t>Synology:DS923+ (Synology NAS DS923+ 4 Bay NAS)</t>
  </si>
  <si>
    <t>Synology:DS224+ (Synology DiskStation DS224+  2Bay)</t>
  </si>
  <si>
    <t>Acronis:Acronis Cyber Backup (Acronis Cyber Backup)</t>
  </si>
  <si>
    <t>HDD:16TB Sea Exos (16 TB Seagate Exos Enterprise Hard Drives)</t>
  </si>
  <si>
    <t>MA (Maintenance  Agreement)</t>
  </si>
  <si>
    <t>HDD:HAT3300-6T (Synology 6TB Plus Hard Drive)</t>
  </si>
  <si>
    <t>Synology:RS1221+ (Synology  RS1221+  8Bay NAS)</t>
  </si>
  <si>
    <t>Synology:Dual Port F2 Card</t>
  </si>
  <si>
    <t>RAM</t>
  </si>
  <si>
    <t>Synology:DS1522+ (Synology DiskStation DS1522+)</t>
  </si>
  <si>
    <t>Hosting (Hosting)</t>
  </si>
  <si>
    <t>Services</t>
  </si>
  <si>
    <t>Host Email</t>
  </si>
  <si>
    <t>BDCOM:S1006-4p-65 (BDCOM S1006-4p-65 Unmanaged 4 ports 10/100 PoE Ports and 2 Ports 10/100 NON PoE)</t>
  </si>
  <si>
    <t>Draytek:Vigor 2927 (Draytek Vigor 2927 Security Appliance. Dual Wan)</t>
  </si>
  <si>
    <t>Cyren Key (DrayTek Cyren Key)</t>
  </si>
  <si>
    <t>HDD:HAT5300-12T (Synology 12TB Enterprise Hard Drive)</t>
  </si>
  <si>
    <t>Synology:DS423+ (Synology DiskStation DS423+ 4Bay)</t>
  </si>
  <si>
    <t>BDCOM:S1500-16T (BDCOM S1500-16T Switch)</t>
  </si>
  <si>
    <t>BDCOM:S1000-8P2F (BDCOM POE S1000-8P2F  8Port 100M Switch)</t>
  </si>
  <si>
    <t>Synology:RS822RP+ (Synology Rackstation RS822RP+)</t>
  </si>
  <si>
    <t>HDD:HAT3310-12T (12TB Synology Plus HDD)</t>
  </si>
  <si>
    <t>Synology:1 U Fixed Rail Kit</t>
  </si>
  <si>
    <t>HDD:16TB Synology Ent (16TB Synology Enterprise Hard Drive)</t>
  </si>
  <si>
    <t>HDD:8TB  ENT SATA (8 TB Enterprise Hard Drive)</t>
  </si>
  <si>
    <t>BDCOM:S1500-24P2S-370 (S1500-24P2S-370 BDCOM Switch)</t>
  </si>
  <si>
    <t>BDCOM:S1200-16P2G1S (BDCOM 16Port 100M POE+ 2Port 1G RJ45 + 1 -Port GE SFP port Unmanaged POE Sw...</t>
  </si>
  <si>
    <t>Synology:DS223 (Synology Diskstation DS223  2Bay)</t>
  </si>
  <si>
    <t>BDCOM:S1500-24T2S (S1500-24T2S BDCOM Switch)</t>
  </si>
  <si>
    <t>BDCOM:S1508E</t>
  </si>
  <si>
    <t>BDCOM:S1500-16P2S (BDCOM S1500-16P2S POE Switch)</t>
  </si>
  <si>
    <t>BDCOM:S1008 (BDCOM S1008 8 Port 10/100 BaseT Standard Switch)</t>
  </si>
  <si>
    <t>BDCOM:S1024B (BDCOM S1024B 24 Port 100M BaseT 1U Rack Mounted)</t>
  </si>
  <si>
    <t>BDCOM:S1010-8p-120 (BDCOM S1010-8p-120 Unmanaged 8 Port 10/100 PoE Ports and 2 Ports 10/100 NON ...</t>
  </si>
  <si>
    <t>HDD:HAT5310-8T (Synology 8TB Enterprise Hard Drive)</t>
  </si>
  <si>
    <t>Accs (Accessories)</t>
  </si>
  <si>
    <t>Synology:C2 Cloud (Synology C2 Cloud Storage)</t>
  </si>
  <si>
    <t>RS2423RP+ (Synology RackStation RS2423RP+ 12Bay)</t>
  </si>
  <si>
    <t>480GB SATA SSD Synology (Synology 480GB SATA SSD -SAT5210)</t>
  </si>
  <si>
    <t>Synology:DS925+ (Synology NAS DS925+ 4 Bay NAS)</t>
  </si>
  <si>
    <t>BDCOM:S2528-C (24 Port 1G +4 Port SFP L2 Switch)</t>
  </si>
  <si>
    <t>BDCOM:S1500-24P2S (BDCOM S1500-24P2S Switch)</t>
  </si>
  <si>
    <t>Software</t>
  </si>
  <si>
    <t>BDCOM:S1516v1 (BDCOM S1516v1 Unmanaged 1Gb, 16 port  Switch)</t>
  </si>
  <si>
    <t>Synology:DS1821+ (Synology NAS DS1821+ 8 Bay NAS)</t>
  </si>
  <si>
    <t>Synology:RS422+ (Synology RackStation RS422+)</t>
  </si>
  <si>
    <t>Synology:DS1621+ (Synology NAS DS1621+  6 Bay)</t>
  </si>
  <si>
    <t>Synology:Dual Port T2 Card</t>
  </si>
  <si>
    <t>Synology:DS225+ (Synology DiskStation DS225+ 2Bay NAS)</t>
  </si>
  <si>
    <t>BDCOM:WAP2100-T618 (BDCOM WAP2100-T618)</t>
  </si>
  <si>
    <t>BDCOM:WAP2100-T512 (BDCOM WAP2100-T512)</t>
  </si>
  <si>
    <t>Draytek:Vigor 3910 (Draytek Vigor 3910 Security Appliance..Quad Wan)</t>
  </si>
  <si>
    <t>Rental</t>
  </si>
  <si>
    <t>Synology:RX1217RP (Synology RX1217 RP  12 Bay Expansion)</t>
  </si>
  <si>
    <t>Synology:Single Port T1 Card</t>
  </si>
  <si>
    <t>800GB Synology NVMe SSD (Synology 800GB M.2 SSD (SNV3510-800G) NVMe)</t>
  </si>
  <si>
    <t>Synology:DS425+ (Synology DiskStation DS425+ 4 Bay)</t>
  </si>
  <si>
    <t>Synology:Power Adaptor (Power Adaptor)</t>
  </si>
  <si>
    <t>Synology</t>
  </si>
  <si>
    <t>Synology:RS2821RP+ (Synology NAS RS2821RP+ 16 Bay NAS)</t>
  </si>
  <si>
    <t>HDD:2 TB NAS (2 TB Seagate Ironwolf NAS Hard Drive)</t>
  </si>
  <si>
    <t>Synology:DS1825+ (Synology Disktation DS1825+ NAS Unit)</t>
  </si>
  <si>
    <t>HDD:HAT3300-12T (12TB Synology Plus Hard Drive)</t>
  </si>
  <si>
    <t>24x7 Support (24x7 Support)</t>
  </si>
  <si>
    <t>Synology:DS1520+ (Synology NAS DS1520+ 8GB  5 Bay NAS)</t>
  </si>
  <si>
    <t>Synology:RS3621RPxs</t>
  </si>
  <si>
    <t>BDCOM:S1500-8T (BDCOM 8-Port Gigabit RJ45 Unmanaged Switch)</t>
  </si>
  <si>
    <t>HDD:4TB Ent Toshiba (4TB Enterprise Toshiba HDD)</t>
  </si>
  <si>
    <t>BDCOM:S2900-24S8C4X (BDCOM S2900-24S8C4X 16- Port Gigabit SFP+ 8-Port RJ45 L3-lite Managed Switch)</t>
  </si>
  <si>
    <t>Acronis:Acronis Cyber Protect Home Offi (Acronis Cyber Protect Home Office)</t>
  </si>
  <si>
    <t>BDCOM:S1016 (BDCOM S1016 16 Port 100M BaseT 1U Rack Mounted)</t>
  </si>
  <si>
    <t>HDD:SAT5221-1920G (1.92TB Synology Enterprise SATA SSDs)</t>
  </si>
  <si>
    <t>Synology:RS2825RP+ (Synology RackStation RS2825RP+ 16 Bay NAS)</t>
  </si>
  <si>
    <t>Synology:DS1525+ (Synology DiskStation DS1525+ 5Bay NAS)</t>
  </si>
  <si>
    <t>BDCOM:S2528P (Ethernet POE Switch with 4GE TX/SFP combo ports and 24 GE PoE Ports)</t>
  </si>
  <si>
    <t>HDD:HAT5310-20T (Synology 20TB Enterprise Hard Drive)</t>
  </si>
  <si>
    <t>BDCOM:SFP+ SX</t>
  </si>
  <si>
    <t>Power Supply</t>
  </si>
  <si>
    <t>UPS</t>
  </si>
  <si>
    <t>Hard Drive</t>
  </si>
  <si>
    <t>SSD</t>
  </si>
  <si>
    <t>BDCOM</t>
  </si>
  <si>
    <t>Acronics</t>
  </si>
  <si>
    <t>Support and Maintenance</t>
  </si>
  <si>
    <t>Hardware</t>
  </si>
  <si>
    <t>Other Sales</t>
  </si>
  <si>
    <t>Sales Discount</t>
  </si>
  <si>
    <t>A</t>
  </si>
  <si>
    <t>AS</t>
  </si>
  <si>
    <t>AR</t>
  </si>
  <si>
    <t>AD</t>
  </si>
  <si>
    <t>SM</t>
  </si>
  <si>
    <t>Taxable Sales</t>
  </si>
  <si>
    <t>Non-Taxable Sales</t>
  </si>
  <si>
    <t>AS010844</t>
  </si>
  <si>
    <t>AS010845</t>
  </si>
  <si>
    <t>AS010846</t>
  </si>
  <si>
    <t>AS010847</t>
  </si>
  <si>
    <t>AS010848</t>
  </si>
  <si>
    <t>AS010849</t>
  </si>
  <si>
    <t>AS010850</t>
  </si>
  <si>
    <t>AS010851</t>
  </si>
  <si>
    <t>AS010852</t>
  </si>
  <si>
    <t>AS010853</t>
  </si>
  <si>
    <t>AS010854</t>
  </si>
  <si>
    <t>AS010855</t>
  </si>
  <si>
    <t>AS00117</t>
  </si>
  <si>
    <t>AS010856</t>
  </si>
  <si>
    <t>AS010857</t>
  </si>
  <si>
    <t>AS010858</t>
  </si>
  <si>
    <t>AS010859</t>
  </si>
  <si>
    <t>AS010860</t>
  </si>
  <si>
    <t>AS010861</t>
  </si>
  <si>
    <t>AS010862</t>
  </si>
  <si>
    <t>AS010863</t>
  </si>
  <si>
    <t>AS010864</t>
  </si>
  <si>
    <t>AS00118</t>
  </si>
  <si>
    <t>AS010865</t>
  </si>
  <si>
    <t>AS010866</t>
  </si>
  <si>
    <t>AS010867</t>
  </si>
  <si>
    <t>AS010868</t>
  </si>
  <si>
    <t>AS010869</t>
  </si>
  <si>
    <t>AS010870</t>
  </si>
  <si>
    <t>AS010871</t>
  </si>
  <si>
    <t>AS010872</t>
  </si>
  <si>
    <t>AS010873</t>
  </si>
  <si>
    <t>AS010874</t>
  </si>
  <si>
    <t>AS010875</t>
  </si>
  <si>
    <t>AS010876</t>
  </si>
  <si>
    <t>AS010877</t>
  </si>
  <si>
    <t>AS010878</t>
  </si>
  <si>
    <t>AS010879</t>
  </si>
  <si>
    <t>AS010880</t>
  </si>
  <si>
    <t>AS010881</t>
  </si>
  <si>
    <t>AS010882</t>
  </si>
  <si>
    <t>AS010883</t>
  </si>
  <si>
    <t>AS010884</t>
  </si>
  <si>
    <t>AS010885</t>
  </si>
  <si>
    <t>AS010886</t>
  </si>
  <si>
    <t>AS010887</t>
  </si>
  <si>
    <t>AS00119</t>
  </si>
  <si>
    <t>AS010888</t>
  </si>
  <si>
    <t>AS010889</t>
  </si>
  <si>
    <t>AS010890</t>
  </si>
  <si>
    <t>AS010891</t>
  </si>
  <si>
    <t>AS010892</t>
  </si>
  <si>
    <t>AS010893</t>
  </si>
  <si>
    <t>AS010894</t>
  </si>
  <si>
    <t>AS010895</t>
  </si>
  <si>
    <t>AS010896</t>
  </si>
  <si>
    <t>AS010897</t>
  </si>
  <si>
    <t>AS010898</t>
  </si>
  <si>
    <t>AS010899</t>
  </si>
  <si>
    <t>AS010900</t>
  </si>
  <si>
    <t>AS010901</t>
  </si>
  <si>
    <t>AS010902</t>
  </si>
  <si>
    <t>AS010903</t>
  </si>
  <si>
    <t>AS010904</t>
  </si>
  <si>
    <t>AS010905</t>
  </si>
  <si>
    <t>AS010906</t>
  </si>
  <si>
    <t>AS010907</t>
  </si>
  <si>
    <t>AS010908</t>
  </si>
  <si>
    <t>AS010909</t>
  </si>
  <si>
    <t>AS010910</t>
  </si>
  <si>
    <t>AS010911</t>
  </si>
  <si>
    <t>AS010912</t>
  </si>
  <si>
    <t>AS010913</t>
  </si>
  <si>
    <t>AS010914</t>
  </si>
  <si>
    <t>AS010915</t>
  </si>
  <si>
    <t>AS010916</t>
  </si>
  <si>
    <t>AS010917</t>
  </si>
  <si>
    <t>AS010918</t>
  </si>
  <si>
    <t>AS010919</t>
  </si>
  <si>
    <t>AS010920</t>
  </si>
  <si>
    <t>AS010921</t>
  </si>
  <si>
    <t>AS010922</t>
  </si>
  <si>
    <t>AS010923</t>
  </si>
  <si>
    <t>AS010924</t>
  </si>
  <si>
    <t>AS010925</t>
  </si>
  <si>
    <t>AS010926</t>
  </si>
  <si>
    <t>AS010927</t>
  </si>
  <si>
    <t>AS010928</t>
  </si>
  <si>
    <t>AS010929</t>
  </si>
  <si>
    <t>AS010930</t>
  </si>
  <si>
    <t>AS010931</t>
  </si>
  <si>
    <t>AS010932</t>
  </si>
  <si>
    <t>AS010933</t>
  </si>
  <si>
    <t>AS010934</t>
  </si>
  <si>
    <t>AS010935</t>
  </si>
  <si>
    <t>AS010936</t>
  </si>
  <si>
    <t>AS010937</t>
  </si>
  <si>
    <t>AS010938</t>
  </si>
  <si>
    <t>AS010939</t>
  </si>
  <si>
    <t>AS010940</t>
  </si>
  <si>
    <t>AS010941</t>
  </si>
  <si>
    <t>AS010942</t>
  </si>
  <si>
    <t>AS010943</t>
  </si>
  <si>
    <t>AS010944</t>
  </si>
  <si>
    <t>AS010945</t>
  </si>
  <si>
    <t>AS010946</t>
  </si>
  <si>
    <t>AS010947</t>
  </si>
  <si>
    <t>AS010948</t>
  </si>
  <si>
    <t>AS010949</t>
  </si>
  <si>
    <t>AS010950</t>
  </si>
  <si>
    <t>AS010951</t>
  </si>
  <si>
    <t>AS00120</t>
  </si>
  <si>
    <t>AS010952</t>
  </si>
  <si>
    <t>AS010953</t>
  </si>
  <si>
    <t>AS010954</t>
  </si>
  <si>
    <t>AS010955</t>
  </si>
  <si>
    <t>AS010956</t>
  </si>
  <si>
    <t>AS010957</t>
  </si>
  <si>
    <t>AS010958</t>
  </si>
  <si>
    <t>AS010959</t>
  </si>
  <si>
    <t>AS00121</t>
  </si>
  <si>
    <t>AS010960</t>
  </si>
  <si>
    <t>AS010961</t>
  </si>
  <si>
    <t>AS010962</t>
  </si>
  <si>
    <t>AS010963</t>
  </si>
  <si>
    <t>AS010964</t>
  </si>
  <si>
    <t>AS00122</t>
  </si>
  <si>
    <t>AS010965</t>
  </si>
  <si>
    <t>AS010966</t>
  </si>
  <si>
    <t>AS010967</t>
  </si>
  <si>
    <t>AS010968</t>
  </si>
  <si>
    <t>AS010969</t>
  </si>
  <si>
    <t>AS010970</t>
  </si>
  <si>
    <t>AS010971</t>
  </si>
  <si>
    <t>AS010972</t>
  </si>
  <si>
    <t>AS010973</t>
  </si>
  <si>
    <t>AS010974</t>
  </si>
  <si>
    <t>AS010975</t>
  </si>
  <si>
    <t>AS010976</t>
  </si>
  <si>
    <t>AS010977</t>
  </si>
  <si>
    <t>AS010978</t>
  </si>
  <si>
    <t>AS010979</t>
  </si>
  <si>
    <t>AS010980</t>
  </si>
  <si>
    <t>AS010981</t>
  </si>
  <si>
    <t>AS010982</t>
  </si>
  <si>
    <t>AS010983</t>
  </si>
  <si>
    <t>AS010984</t>
  </si>
  <si>
    <t>AS010985</t>
  </si>
  <si>
    <t>AS010986</t>
  </si>
  <si>
    <t>AS010987</t>
  </si>
  <si>
    <t>AS010988</t>
  </si>
  <si>
    <t>AS010989</t>
  </si>
  <si>
    <t>AS010990</t>
  </si>
  <si>
    <t>AS010991</t>
  </si>
  <si>
    <t>AS010992</t>
  </si>
  <si>
    <t>AS010993</t>
  </si>
  <si>
    <t>AS010994</t>
  </si>
  <si>
    <t>AS00123</t>
  </si>
  <si>
    <t>AS010995</t>
  </si>
  <si>
    <t>AS010996</t>
  </si>
  <si>
    <t>AS010997</t>
  </si>
  <si>
    <t>AS010998</t>
  </si>
  <si>
    <t>AS010999</t>
  </si>
  <si>
    <t>AS011000</t>
  </si>
  <si>
    <t>AS011001</t>
  </si>
  <si>
    <t>AS011002</t>
  </si>
  <si>
    <t>AS011003</t>
  </si>
  <si>
    <t>AS011004</t>
  </si>
  <si>
    <t>AS011005</t>
  </si>
  <si>
    <t>AS011006</t>
  </si>
  <si>
    <t>AS011007</t>
  </si>
  <si>
    <t>AS011008</t>
  </si>
  <si>
    <t>AS011009</t>
  </si>
  <si>
    <t>AS011010</t>
  </si>
  <si>
    <t>AS011011</t>
  </si>
  <si>
    <t>AS011012</t>
  </si>
  <si>
    <t>AS011013</t>
  </si>
  <si>
    <t>AS011014</t>
  </si>
  <si>
    <t>AS011015</t>
  </si>
  <si>
    <t>AS011016</t>
  </si>
  <si>
    <t>AS011017</t>
  </si>
  <si>
    <t>AS011018</t>
  </si>
  <si>
    <t>AS011019</t>
  </si>
  <si>
    <t>AS011020</t>
  </si>
  <si>
    <t>AS011021</t>
  </si>
  <si>
    <t>AS011022</t>
  </si>
  <si>
    <t>AS011023</t>
  </si>
  <si>
    <t>AS011024</t>
  </si>
  <si>
    <t>AS011025</t>
  </si>
  <si>
    <t>AS011026</t>
  </si>
  <si>
    <t>AS011027</t>
  </si>
  <si>
    <t>AS011028</t>
  </si>
  <si>
    <t>AS011029</t>
  </si>
  <si>
    <t>AS011030</t>
  </si>
  <si>
    <t>AS011031</t>
  </si>
  <si>
    <t>AS011032</t>
  </si>
  <si>
    <t>AS011033</t>
  </si>
  <si>
    <t>AS011034</t>
  </si>
  <si>
    <t>AS011035</t>
  </si>
  <si>
    <t>AS011036</t>
  </si>
  <si>
    <t>AS011037</t>
  </si>
  <si>
    <t>AS011038</t>
  </si>
  <si>
    <t>AS011039</t>
  </si>
  <si>
    <t>AS011040</t>
  </si>
  <si>
    <t>AS011041</t>
  </si>
  <si>
    <t>AS011042</t>
  </si>
  <si>
    <t>AS00124</t>
  </si>
  <si>
    <t>AS011043</t>
  </si>
  <si>
    <t>AS011044</t>
  </si>
  <si>
    <t>AS00125</t>
  </si>
  <si>
    <t>AS011045</t>
  </si>
  <si>
    <t>AS011046</t>
  </si>
  <si>
    <t>AS011047</t>
  </si>
  <si>
    <t>AS011048</t>
  </si>
  <si>
    <t>AS011049</t>
  </si>
  <si>
    <t>AS011050</t>
  </si>
  <si>
    <t>AS011051</t>
  </si>
  <si>
    <t>AS011052</t>
  </si>
  <si>
    <t>AS011053</t>
  </si>
  <si>
    <t>AS011054</t>
  </si>
  <si>
    <t>AS011055</t>
  </si>
  <si>
    <t>AS011056</t>
  </si>
  <si>
    <t>AS011057</t>
  </si>
  <si>
    <t>AS011058</t>
  </si>
  <si>
    <t>AS011059</t>
  </si>
  <si>
    <t>AS011060</t>
  </si>
  <si>
    <t>AS011061</t>
  </si>
  <si>
    <t>AS011062</t>
  </si>
  <si>
    <t>AS011063</t>
  </si>
  <si>
    <t>AS011064</t>
  </si>
  <si>
    <t>AS011065</t>
  </si>
  <si>
    <t>AS011066</t>
  </si>
  <si>
    <t>AS011067</t>
  </si>
  <si>
    <t>AS011068</t>
  </si>
  <si>
    <t>AS011069</t>
  </si>
  <si>
    <t>AS011070</t>
  </si>
  <si>
    <t>AS011071</t>
  </si>
  <si>
    <t>AS011072</t>
  </si>
  <si>
    <t>AS011073</t>
  </si>
  <si>
    <t>AS011074</t>
  </si>
  <si>
    <t>AS011075</t>
  </si>
  <si>
    <t>AS011076</t>
  </si>
  <si>
    <t>AS011077</t>
  </si>
  <si>
    <t>AS011078</t>
  </si>
  <si>
    <t>AS011079</t>
  </si>
  <si>
    <t>AS00126</t>
  </si>
  <si>
    <t>AS00127</t>
  </si>
  <si>
    <t>AS011080</t>
  </si>
  <si>
    <t>AS011081</t>
  </si>
  <si>
    <t>AS011082</t>
  </si>
  <si>
    <t>AS00128</t>
  </si>
  <si>
    <t>AS011083</t>
  </si>
  <si>
    <t>AS011084</t>
  </si>
  <si>
    <t>AS011085</t>
  </si>
  <si>
    <t>AS011086</t>
  </si>
  <si>
    <t>AS011087</t>
  </si>
  <si>
    <t>AS011088</t>
  </si>
  <si>
    <t>AS011089</t>
  </si>
  <si>
    <t>AS011090</t>
  </si>
  <si>
    <t>AS011091</t>
  </si>
  <si>
    <t>AS011092</t>
  </si>
  <si>
    <t>AS011093</t>
  </si>
  <si>
    <t>AS011094</t>
  </si>
  <si>
    <t>AS011095</t>
  </si>
  <si>
    <t>AS011096</t>
  </si>
  <si>
    <t>AS011097</t>
  </si>
  <si>
    <t>AS011098</t>
  </si>
  <si>
    <t>AS011099</t>
  </si>
  <si>
    <t>AS011100</t>
  </si>
  <si>
    <t>AS011101</t>
  </si>
  <si>
    <t>AS011102</t>
  </si>
  <si>
    <t>AS011103</t>
  </si>
  <si>
    <t>AS011104</t>
  </si>
  <si>
    <t>AS011105</t>
  </si>
  <si>
    <t>AS011106</t>
  </si>
  <si>
    <t>AS011107</t>
  </si>
  <si>
    <t>AS011108</t>
  </si>
  <si>
    <t>AS011109</t>
  </si>
  <si>
    <t>AS011110</t>
  </si>
  <si>
    <t>AS011111</t>
  </si>
  <si>
    <t>AS011112</t>
  </si>
  <si>
    <t>AS011113</t>
  </si>
  <si>
    <t>AS011114</t>
  </si>
  <si>
    <t>AS011115</t>
  </si>
  <si>
    <t>AS011116</t>
  </si>
  <si>
    <t>AS011117</t>
  </si>
  <si>
    <t>AS011118</t>
  </si>
  <si>
    <t>AS011119</t>
  </si>
  <si>
    <t>AS011120</t>
  </si>
  <si>
    <t>AS011121</t>
  </si>
  <si>
    <t>AS011122</t>
  </si>
  <si>
    <t>AS011123</t>
  </si>
  <si>
    <t>AS011124</t>
  </si>
  <si>
    <t>AS011125</t>
  </si>
  <si>
    <t>AS011126</t>
  </si>
  <si>
    <t>AS011127</t>
  </si>
  <si>
    <t>AS011128</t>
  </si>
  <si>
    <t>AS011129</t>
  </si>
  <si>
    <t>AS011130</t>
  </si>
  <si>
    <t>AS011131</t>
  </si>
  <si>
    <t>AS011132</t>
  </si>
  <si>
    <t>AS011133</t>
  </si>
  <si>
    <t>AS011134</t>
  </si>
  <si>
    <t>AMTEC ELECTRONIC (PVT) LTD</t>
  </si>
  <si>
    <t>Asiri Hospital Matara (Pvt) Ltd</t>
  </si>
  <si>
    <t>Accura-Tech Accurate Technologies</t>
  </si>
  <si>
    <t>Priya Dharmarajah Spathodea</t>
  </si>
  <si>
    <t>LK Domain Registry</t>
  </si>
  <si>
    <t>DOT INK (PVT) LTD</t>
  </si>
  <si>
    <t>Techno First (Pvt) Ltd</t>
  </si>
  <si>
    <t>American College Of Higher Education</t>
  </si>
  <si>
    <t>LEOsys Corporation (Pvt) Ltd.</t>
  </si>
  <si>
    <t>Millennium I.T.E.S.P (Pvt) Ltd</t>
  </si>
  <si>
    <t>Giga Foods (Pvt)  Ltd</t>
  </si>
  <si>
    <t>DATAVERSE IT SOLUTIONS (PVT)LTD</t>
  </si>
  <si>
    <t>Ideal Network System</t>
  </si>
  <si>
    <t>British Cosmetics (Pvt) Ltd</t>
  </si>
  <si>
    <t>First Capital Holdings PLC</t>
  </si>
  <si>
    <t>Metropolitan Technologies (Pvt) Ltd</t>
  </si>
  <si>
    <t>NetCore Solutions</t>
  </si>
  <si>
    <t>T&amp;D Associates</t>
  </si>
  <si>
    <t>Content Management &amp; Solutions (Pvt) Ltd</t>
  </si>
  <si>
    <t>I7 Computers</t>
  </si>
  <si>
    <t>Grace Lanka Apperals (Pvt) Ltd</t>
  </si>
  <si>
    <t>M Concepts Holdings (Pvt) Ltd</t>
  </si>
  <si>
    <t>Allied Techno Services Pvt Ltd</t>
  </si>
  <si>
    <t>Penta Technology Solutions (Pvt) Ltd</t>
  </si>
  <si>
    <t>UNISYS ENGINEERING</t>
  </si>
  <si>
    <t>Rangiri Srilanka Media Networks</t>
  </si>
  <si>
    <t>Sell-X Computers (Pvt) Ltd</t>
  </si>
  <si>
    <t>IT Shop</t>
  </si>
  <si>
    <t>CEAT Kelani International Tyres (Pvt)Ltd</t>
  </si>
  <si>
    <t>Fazaal Bath Studio</t>
  </si>
  <si>
    <t>Ascension Technologies (Pvt) Ltd</t>
  </si>
  <si>
    <t>Mr. Nirosh (Rayfor)</t>
  </si>
  <si>
    <t>Mr. Nipun Dissanayake</t>
  </si>
  <si>
    <t>MTV Channel (Pvt) Ltd</t>
  </si>
  <si>
    <t>CNMS Holdings (Pvt) Ltd</t>
  </si>
  <si>
    <t>DMS Electronics (Pvt) Ltd Division 02</t>
  </si>
  <si>
    <t>Studio Focus</t>
  </si>
  <si>
    <t>Mahendra Fernando</t>
  </si>
  <si>
    <t>Studio Dreambox</t>
  </si>
  <si>
    <t>Prime Pulse Solutions (Pvt) Ltd</t>
  </si>
  <si>
    <t>Penguin Shipping Enterprises (Pvt) Ltd.</t>
  </si>
  <si>
    <t>Chama Computers (Pvt) Ltd</t>
  </si>
  <si>
    <t>Intek Solutions</t>
  </si>
  <si>
    <t>Tech Crop Solutions (Pvt) Ltd</t>
  </si>
  <si>
    <t>Smart Moves &amp; Repairs</t>
  </si>
  <si>
    <t>AlloT Technologies (Pvt) Ltd</t>
  </si>
  <si>
    <t>Fazaal Ceramics</t>
  </si>
  <si>
    <t>Anexta Business Solutions (Pvt) Ltd</t>
  </si>
  <si>
    <t>Telasis Solutions (Pvt) Ltd</t>
  </si>
  <si>
    <t>Dilru Production (Pvt) Ltd</t>
  </si>
  <si>
    <t>Enico Chemical Industries Pvt Ltd</t>
  </si>
  <si>
    <t>HDD:400GB Syno SSD (400GB Synology SSD M.2)</t>
  </si>
  <si>
    <t>HDD:HAT5300-4T (Synology 4TB Enterprise Hard Drive)</t>
  </si>
  <si>
    <t>Synology:M2D20 (Synology M2D20 Adapter Card)</t>
  </si>
  <si>
    <t>HDD:HAT3320-8T (Synology 8TB Plus Hard Drive)</t>
  </si>
  <si>
    <t>Synology:License Pack 1 (Synology Camera License Pack 1)</t>
  </si>
  <si>
    <t>Synology:SNV3400-400G (SNV3400-400G M.2 NVMe SSD)</t>
  </si>
  <si>
    <t>Draytek:Vigor 2962 (Draytek Vigor 2962)</t>
  </si>
  <si>
    <t>Implementation &amp; configuration</t>
  </si>
  <si>
    <t>Synology:RS2418RP+ (Synology RackStation RS2418RP+)</t>
  </si>
  <si>
    <t>Draytek:DrayTek AP 912C (DrayTek  VigorAP 912C Ceiling -mount AP)</t>
  </si>
  <si>
    <t>HDD:14TB ENT SATA (14TB Seagate Enterprise Hard Drive)</t>
  </si>
  <si>
    <t>Draytek:Vigor P2282x (DrayTek Vigor Switch P2282x)</t>
  </si>
  <si>
    <t>PC</t>
  </si>
  <si>
    <t>SA3410 (Synology Rack Station SA3410 12 Bay)</t>
  </si>
  <si>
    <t>960G SATA SSD Synology (Synology 960GB SATA SSD - SAT-5221 960G)</t>
  </si>
  <si>
    <t>SFP+ M/M 10G (BDCOM SFP + Multi mode 10G 300M Transceiver)</t>
  </si>
  <si>
    <t>BDCOM:WAP2100-WG300 (BDCOM WAP2100-WG300 Wireless Router)</t>
  </si>
  <si>
    <t>HDD:2TB SSD EVo (2TB Samsung 870 Evo SATA SSDs)</t>
  </si>
  <si>
    <t>BDCOM:GSFP-LX-10-D (BDCOM 1GE SFP Single-mode)</t>
  </si>
  <si>
    <t>C13-14 Power cable (C13-14 Power cable)</t>
  </si>
  <si>
    <t>HDD:6 TB NAS (6 TB Seagate Ironwolf NAS Hard Drive)</t>
  </si>
  <si>
    <t>BDCOM S1500-4P2G (BDCOM S1500-4P2G Switch)</t>
  </si>
  <si>
    <t>Synalyzer Software (Synalyzer Software)</t>
  </si>
  <si>
    <t>HDD:2TB SSD 225S (2TB SSD225S Transcend)</t>
  </si>
  <si>
    <t>RS822+ (Synology Rack Station RS822+)</t>
  </si>
  <si>
    <t>S1000-4P2F (BDCOM S1000-4P2F Switch)</t>
  </si>
  <si>
    <t>BDCOM S1500-5T (BDCOM S1500-5T Switch)</t>
  </si>
  <si>
    <t>Acronis Antivirus (Acronis Advanced Antivirus Enpoint Detection &amp; Response (EDR))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</si>
</sst>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#,##0.00###;\-#,##0.00###"/>
    <numFmt numFmtId="166" formatCode="#,##0.00;\-#,##0.00"/>
  </numFmts>
  <fonts count="6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6" fontId="2" fillId="0" borderId="0" xfId="0" applyNumberFormat="1" applyFont="1" applyBorder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6" fontId="1" fillId="0" borderId="2" xfId="0" applyNumberFormat="1" applyFont="1" applyBorder="1"/>
    <xf numFmtId="0" fontId="1" fillId="0" borderId="0" xfId="0" applyFont="1"/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D5348C8E-CD9D-4CAC-996F-EE9AAF8B62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914400</xdr:colOff>
      <xdr:row>30</xdr:row>
      <xdr:rowOff>60960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6ABBC0A-0618-431A-9FAA-6E11947CE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771120" cy="6332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B466-2381-41FF-8CE6-29C4678969FB}">
  <dimension ref="B1:C40"/>
  <sheetViews>
    <sheetView showGridLines="0" zoomScale="84" zoomScaleNormal="84" workbookViewId="0"/>
  </sheetViews>
  <sheetFormatPr defaultRowHeight="14.4" x14ac:dyDescent="0.3"/>
  <cols>
    <col min="1" max="1" width="3" style="15" customWidth="1"/>
    <col min="2" max="2" width="4.109375" style="15" customWidth="1"/>
    <col min="3" max="3" width="54" style="15" customWidth="1"/>
    <col min="4" max="4" width="3.6640625" style="15" customWidth="1"/>
    <col min="5" max="5" width="90.33203125" style="15" customWidth="1"/>
    <col min="6" max="7" width="8.88671875" style="15"/>
    <col min="8" max="8" width="15.44140625" style="15" customWidth="1"/>
    <col min="9" max="9" width="5.109375" style="15" customWidth="1"/>
    <col min="10" max="11" width="8.88671875" style="15"/>
    <col min="12" max="12" width="3" style="15" customWidth="1"/>
    <col min="13" max="15" width="8.88671875" style="15"/>
    <col min="16" max="16" width="7" style="15" customWidth="1"/>
    <col min="17" max="256" width="8.88671875" style="15"/>
    <col min="257" max="257" width="3" style="15" customWidth="1"/>
    <col min="258" max="258" width="4.109375" style="15" customWidth="1"/>
    <col min="259" max="259" width="54" style="15" customWidth="1"/>
    <col min="260" max="260" width="3.6640625" style="15" customWidth="1"/>
    <col min="261" max="261" width="90.33203125" style="15" customWidth="1"/>
    <col min="262" max="263" width="8.88671875" style="15"/>
    <col min="264" max="264" width="15.44140625" style="15" customWidth="1"/>
    <col min="265" max="265" width="5.109375" style="15" customWidth="1"/>
    <col min="266" max="267" width="8.88671875" style="15"/>
    <col min="268" max="268" width="3" style="15" customWidth="1"/>
    <col min="269" max="271" width="8.88671875" style="15"/>
    <col min="272" max="272" width="7" style="15" customWidth="1"/>
    <col min="273" max="512" width="8.88671875" style="15"/>
    <col min="513" max="513" width="3" style="15" customWidth="1"/>
    <col min="514" max="514" width="4.109375" style="15" customWidth="1"/>
    <col min="515" max="515" width="54" style="15" customWidth="1"/>
    <col min="516" max="516" width="3.6640625" style="15" customWidth="1"/>
    <col min="517" max="517" width="90.33203125" style="15" customWidth="1"/>
    <col min="518" max="519" width="8.88671875" style="15"/>
    <col min="520" max="520" width="15.44140625" style="15" customWidth="1"/>
    <col min="521" max="521" width="5.109375" style="15" customWidth="1"/>
    <col min="522" max="523" width="8.88671875" style="15"/>
    <col min="524" max="524" width="3" style="15" customWidth="1"/>
    <col min="525" max="527" width="8.88671875" style="15"/>
    <col min="528" max="528" width="7" style="15" customWidth="1"/>
    <col min="529" max="768" width="8.88671875" style="15"/>
    <col min="769" max="769" width="3" style="15" customWidth="1"/>
    <col min="770" max="770" width="4.109375" style="15" customWidth="1"/>
    <col min="771" max="771" width="54" style="15" customWidth="1"/>
    <col min="772" max="772" width="3.6640625" style="15" customWidth="1"/>
    <col min="773" max="773" width="90.33203125" style="15" customWidth="1"/>
    <col min="774" max="775" width="8.88671875" style="15"/>
    <col min="776" max="776" width="15.44140625" style="15" customWidth="1"/>
    <col min="777" max="777" width="5.109375" style="15" customWidth="1"/>
    <col min="778" max="779" width="8.88671875" style="15"/>
    <col min="780" max="780" width="3" style="15" customWidth="1"/>
    <col min="781" max="783" width="8.88671875" style="15"/>
    <col min="784" max="784" width="7" style="15" customWidth="1"/>
    <col min="785" max="1024" width="8.88671875" style="15"/>
    <col min="1025" max="1025" width="3" style="15" customWidth="1"/>
    <col min="1026" max="1026" width="4.109375" style="15" customWidth="1"/>
    <col min="1027" max="1027" width="54" style="15" customWidth="1"/>
    <col min="1028" max="1028" width="3.6640625" style="15" customWidth="1"/>
    <col min="1029" max="1029" width="90.33203125" style="15" customWidth="1"/>
    <col min="1030" max="1031" width="8.88671875" style="15"/>
    <col min="1032" max="1032" width="15.44140625" style="15" customWidth="1"/>
    <col min="1033" max="1033" width="5.109375" style="15" customWidth="1"/>
    <col min="1034" max="1035" width="8.88671875" style="15"/>
    <col min="1036" max="1036" width="3" style="15" customWidth="1"/>
    <col min="1037" max="1039" width="8.88671875" style="15"/>
    <col min="1040" max="1040" width="7" style="15" customWidth="1"/>
    <col min="1041" max="1280" width="8.88671875" style="15"/>
    <col min="1281" max="1281" width="3" style="15" customWidth="1"/>
    <col min="1282" max="1282" width="4.109375" style="15" customWidth="1"/>
    <col min="1283" max="1283" width="54" style="15" customWidth="1"/>
    <col min="1284" max="1284" width="3.6640625" style="15" customWidth="1"/>
    <col min="1285" max="1285" width="90.33203125" style="15" customWidth="1"/>
    <col min="1286" max="1287" width="8.88671875" style="15"/>
    <col min="1288" max="1288" width="15.44140625" style="15" customWidth="1"/>
    <col min="1289" max="1289" width="5.109375" style="15" customWidth="1"/>
    <col min="1290" max="1291" width="8.88671875" style="15"/>
    <col min="1292" max="1292" width="3" style="15" customWidth="1"/>
    <col min="1293" max="1295" width="8.88671875" style="15"/>
    <col min="1296" max="1296" width="7" style="15" customWidth="1"/>
    <col min="1297" max="1536" width="8.88671875" style="15"/>
    <col min="1537" max="1537" width="3" style="15" customWidth="1"/>
    <col min="1538" max="1538" width="4.109375" style="15" customWidth="1"/>
    <col min="1539" max="1539" width="54" style="15" customWidth="1"/>
    <col min="1540" max="1540" width="3.6640625" style="15" customWidth="1"/>
    <col min="1541" max="1541" width="90.33203125" style="15" customWidth="1"/>
    <col min="1542" max="1543" width="8.88671875" style="15"/>
    <col min="1544" max="1544" width="15.44140625" style="15" customWidth="1"/>
    <col min="1545" max="1545" width="5.109375" style="15" customWidth="1"/>
    <col min="1546" max="1547" width="8.88671875" style="15"/>
    <col min="1548" max="1548" width="3" style="15" customWidth="1"/>
    <col min="1549" max="1551" width="8.88671875" style="15"/>
    <col min="1552" max="1552" width="7" style="15" customWidth="1"/>
    <col min="1553" max="1792" width="8.88671875" style="15"/>
    <col min="1793" max="1793" width="3" style="15" customWidth="1"/>
    <col min="1794" max="1794" width="4.109375" style="15" customWidth="1"/>
    <col min="1795" max="1795" width="54" style="15" customWidth="1"/>
    <col min="1796" max="1796" width="3.6640625" style="15" customWidth="1"/>
    <col min="1797" max="1797" width="90.33203125" style="15" customWidth="1"/>
    <col min="1798" max="1799" width="8.88671875" style="15"/>
    <col min="1800" max="1800" width="15.44140625" style="15" customWidth="1"/>
    <col min="1801" max="1801" width="5.109375" style="15" customWidth="1"/>
    <col min="1802" max="1803" width="8.88671875" style="15"/>
    <col min="1804" max="1804" width="3" style="15" customWidth="1"/>
    <col min="1805" max="1807" width="8.88671875" style="15"/>
    <col min="1808" max="1808" width="7" style="15" customWidth="1"/>
    <col min="1809" max="2048" width="8.88671875" style="15"/>
    <col min="2049" max="2049" width="3" style="15" customWidth="1"/>
    <col min="2050" max="2050" width="4.109375" style="15" customWidth="1"/>
    <col min="2051" max="2051" width="54" style="15" customWidth="1"/>
    <col min="2052" max="2052" width="3.6640625" style="15" customWidth="1"/>
    <col min="2053" max="2053" width="90.33203125" style="15" customWidth="1"/>
    <col min="2054" max="2055" width="8.88671875" style="15"/>
    <col min="2056" max="2056" width="15.44140625" style="15" customWidth="1"/>
    <col min="2057" max="2057" width="5.109375" style="15" customWidth="1"/>
    <col min="2058" max="2059" width="8.88671875" style="15"/>
    <col min="2060" max="2060" width="3" style="15" customWidth="1"/>
    <col min="2061" max="2063" width="8.88671875" style="15"/>
    <col min="2064" max="2064" width="7" style="15" customWidth="1"/>
    <col min="2065" max="2304" width="8.88671875" style="15"/>
    <col min="2305" max="2305" width="3" style="15" customWidth="1"/>
    <col min="2306" max="2306" width="4.109375" style="15" customWidth="1"/>
    <col min="2307" max="2307" width="54" style="15" customWidth="1"/>
    <col min="2308" max="2308" width="3.6640625" style="15" customWidth="1"/>
    <col min="2309" max="2309" width="90.33203125" style="15" customWidth="1"/>
    <col min="2310" max="2311" width="8.88671875" style="15"/>
    <col min="2312" max="2312" width="15.44140625" style="15" customWidth="1"/>
    <col min="2313" max="2313" width="5.109375" style="15" customWidth="1"/>
    <col min="2314" max="2315" width="8.88671875" style="15"/>
    <col min="2316" max="2316" width="3" style="15" customWidth="1"/>
    <col min="2317" max="2319" width="8.88671875" style="15"/>
    <col min="2320" max="2320" width="7" style="15" customWidth="1"/>
    <col min="2321" max="2560" width="8.88671875" style="15"/>
    <col min="2561" max="2561" width="3" style="15" customWidth="1"/>
    <col min="2562" max="2562" width="4.109375" style="15" customWidth="1"/>
    <col min="2563" max="2563" width="54" style="15" customWidth="1"/>
    <col min="2564" max="2564" width="3.6640625" style="15" customWidth="1"/>
    <col min="2565" max="2565" width="90.33203125" style="15" customWidth="1"/>
    <col min="2566" max="2567" width="8.88671875" style="15"/>
    <col min="2568" max="2568" width="15.44140625" style="15" customWidth="1"/>
    <col min="2569" max="2569" width="5.109375" style="15" customWidth="1"/>
    <col min="2570" max="2571" width="8.88671875" style="15"/>
    <col min="2572" max="2572" width="3" style="15" customWidth="1"/>
    <col min="2573" max="2575" width="8.88671875" style="15"/>
    <col min="2576" max="2576" width="7" style="15" customWidth="1"/>
    <col min="2577" max="2816" width="8.88671875" style="15"/>
    <col min="2817" max="2817" width="3" style="15" customWidth="1"/>
    <col min="2818" max="2818" width="4.109375" style="15" customWidth="1"/>
    <col min="2819" max="2819" width="54" style="15" customWidth="1"/>
    <col min="2820" max="2820" width="3.6640625" style="15" customWidth="1"/>
    <col min="2821" max="2821" width="90.33203125" style="15" customWidth="1"/>
    <col min="2822" max="2823" width="8.88671875" style="15"/>
    <col min="2824" max="2824" width="15.44140625" style="15" customWidth="1"/>
    <col min="2825" max="2825" width="5.109375" style="15" customWidth="1"/>
    <col min="2826" max="2827" width="8.88671875" style="15"/>
    <col min="2828" max="2828" width="3" style="15" customWidth="1"/>
    <col min="2829" max="2831" width="8.88671875" style="15"/>
    <col min="2832" max="2832" width="7" style="15" customWidth="1"/>
    <col min="2833" max="3072" width="8.88671875" style="15"/>
    <col min="3073" max="3073" width="3" style="15" customWidth="1"/>
    <col min="3074" max="3074" width="4.109375" style="15" customWidth="1"/>
    <col min="3075" max="3075" width="54" style="15" customWidth="1"/>
    <col min="3076" max="3076" width="3.6640625" style="15" customWidth="1"/>
    <col min="3077" max="3077" width="90.33203125" style="15" customWidth="1"/>
    <col min="3078" max="3079" width="8.88671875" style="15"/>
    <col min="3080" max="3080" width="15.44140625" style="15" customWidth="1"/>
    <col min="3081" max="3081" width="5.109375" style="15" customWidth="1"/>
    <col min="3082" max="3083" width="8.88671875" style="15"/>
    <col min="3084" max="3084" width="3" style="15" customWidth="1"/>
    <col min="3085" max="3087" width="8.88671875" style="15"/>
    <col min="3088" max="3088" width="7" style="15" customWidth="1"/>
    <col min="3089" max="3328" width="8.88671875" style="15"/>
    <col min="3329" max="3329" width="3" style="15" customWidth="1"/>
    <col min="3330" max="3330" width="4.109375" style="15" customWidth="1"/>
    <col min="3331" max="3331" width="54" style="15" customWidth="1"/>
    <col min="3332" max="3332" width="3.6640625" style="15" customWidth="1"/>
    <col min="3333" max="3333" width="90.33203125" style="15" customWidth="1"/>
    <col min="3334" max="3335" width="8.88671875" style="15"/>
    <col min="3336" max="3336" width="15.44140625" style="15" customWidth="1"/>
    <col min="3337" max="3337" width="5.109375" style="15" customWidth="1"/>
    <col min="3338" max="3339" width="8.88671875" style="15"/>
    <col min="3340" max="3340" width="3" style="15" customWidth="1"/>
    <col min="3341" max="3343" width="8.88671875" style="15"/>
    <col min="3344" max="3344" width="7" style="15" customWidth="1"/>
    <col min="3345" max="3584" width="8.88671875" style="15"/>
    <col min="3585" max="3585" width="3" style="15" customWidth="1"/>
    <col min="3586" max="3586" width="4.109375" style="15" customWidth="1"/>
    <col min="3587" max="3587" width="54" style="15" customWidth="1"/>
    <col min="3588" max="3588" width="3.6640625" style="15" customWidth="1"/>
    <col min="3589" max="3589" width="90.33203125" style="15" customWidth="1"/>
    <col min="3590" max="3591" width="8.88671875" style="15"/>
    <col min="3592" max="3592" width="15.44140625" style="15" customWidth="1"/>
    <col min="3593" max="3593" width="5.109375" style="15" customWidth="1"/>
    <col min="3594" max="3595" width="8.88671875" style="15"/>
    <col min="3596" max="3596" width="3" style="15" customWidth="1"/>
    <col min="3597" max="3599" width="8.88671875" style="15"/>
    <col min="3600" max="3600" width="7" style="15" customWidth="1"/>
    <col min="3601" max="3840" width="8.88671875" style="15"/>
    <col min="3841" max="3841" width="3" style="15" customWidth="1"/>
    <col min="3842" max="3842" width="4.109375" style="15" customWidth="1"/>
    <col min="3843" max="3843" width="54" style="15" customWidth="1"/>
    <col min="3844" max="3844" width="3.6640625" style="15" customWidth="1"/>
    <col min="3845" max="3845" width="90.33203125" style="15" customWidth="1"/>
    <col min="3846" max="3847" width="8.88671875" style="15"/>
    <col min="3848" max="3848" width="15.44140625" style="15" customWidth="1"/>
    <col min="3849" max="3849" width="5.109375" style="15" customWidth="1"/>
    <col min="3850" max="3851" width="8.88671875" style="15"/>
    <col min="3852" max="3852" width="3" style="15" customWidth="1"/>
    <col min="3853" max="3855" width="8.88671875" style="15"/>
    <col min="3856" max="3856" width="7" style="15" customWidth="1"/>
    <col min="3857" max="4096" width="8.88671875" style="15"/>
    <col min="4097" max="4097" width="3" style="15" customWidth="1"/>
    <col min="4098" max="4098" width="4.109375" style="15" customWidth="1"/>
    <col min="4099" max="4099" width="54" style="15" customWidth="1"/>
    <col min="4100" max="4100" width="3.6640625" style="15" customWidth="1"/>
    <col min="4101" max="4101" width="90.33203125" style="15" customWidth="1"/>
    <col min="4102" max="4103" width="8.88671875" style="15"/>
    <col min="4104" max="4104" width="15.44140625" style="15" customWidth="1"/>
    <col min="4105" max="4105" width="5.109375" style="15" customWidth="1"/>
    <col min="4106" max="4107" width="8.88671875" style="15"/>
    <col min="4108" max="4108" width="3" style="15" customWidth="1"/>
    <col min="4109" max="4111" width="8.88671875" style="15"/>
    <col min="4112" max="4112" width="7" style="15" customWidth="1"/>
    <col min="4113" max="4352" width="8.88671875" style="15"/>
    <col min="4353" max="4353" width="3" style="15" customWidth="1"/>
    <col min="4354" max="4354" width="4.109375" style="15" customWidth="1"/>
    <col min="4355" max="4355" width="54" style="15" customWidth="1"/>
    <col min="4356" max="4356" width="3.6640625" style="15" customWidth="1"/>
    <col min="4357" max="4357" width="90.33203125" style="15" customWidth="1"/>
    <col min="4358" max="4359" width="8.88671875" style="15"/>
    <col min="4360" max="4360" width="15.44140625" style="15" customWidth="1"/>
    <col min="4361" max="4361" width="5.109375" style="15" customWidth="1"/>
    <col min="4362" max="4363" width="8.88671875" style="15"/>
    <col min="4364" max="4364" width="3" style="15" customWidth="1"/>
    <col min="4365" max="4367" width="8.88671875" style="15"/>
    <col min="4368" max="4368" width="7" style="15" customWidth="1"/>
    <col min="4369" max="4608" width="8.88671875" style="15"/>
    <col min="4609" max="4609" width="3" style="15" customWidth="1"/>
    <col min="4610" max="4610" width="4.109375" style="15" customWidth="1"/>
    <col min="4611" max="4611" width="54" style="15" customWidth="1"/>
    <col min="4612" max="4612" width="3.6640625" style="15" customWidth="1"/>
    <col min="4613" max="4613" width="90.33203125" style="15" customWidth="1"/>
    <col min="4614" max="4615" width="8.88671875" style="15"/>
    <col min="4616" max="4616" width="15.44140625" style="15" customWidth="1"/>
    <col min="4617" max="4617" width="5.109375" style="15" customWidth="1"/>
    <col min="4618" max="4619" width="8.88671875" style="15"/>
    <col min="4620" max="4620" width="3" style="15" customWidth="1"/>
    <col min="4621" max="4623" width="8.88671875" style="15"/>
    <col min="4624" max="4624" width="7" style="15" customWidth="1"/>
    <col min="4625" max="4864" width="8.88671875" style="15"/>
    <col min="4865" max="4865" width="3" style="15" customWidth="1"/>
    <col min="4866" max="4866" width="4.109375" style="15" customWidth="1"/>
    <col min="4867" max="4867" width="54" style="15" customWidth="1"/>
    <col min="4868" max="4868" width="3.6640625" style="15" customWidth="1"/>
    <col min="4869" max="4869" width="90.33203125" style="15" customWidth="1"/>
    <col min="4870" max="4871" width="8.88671875" style="15"/>
    <col min="4872" max="4872" width="15.44140625" style="15" customWidth="1"/>
    <col min="4873" max="4873" width="5.109375" style="15" customWidth="1"/>
    <col min="4874" max="4875" width="8.88671875" style="15"/>
    <col min="4876" max="4876" width="3" style="15" customWidth="1"/>
    <col min="4877" max="4879" width="8.88671875" style="15"/>
    <col min="4880" max="4880" width="7" style="15" customWidth="1"/>
    <col min="4881" max="5120" width="8.88671875" style="15"/>
    <col min="5121" max="5121" width="3" style="15" customWidth="1"/>
    <col min="5122" max="5122" width="4.109375" style="15" customWidth="1"/>
    <col min="5123" max="5123" width="54" style="15" customWidth="1"/>
    <col min="5124" max="5124" width="3.6640625" style="15" customWidth="1"/>
    <col min="5125" max="5125" width="90.33203125" style="15" customWidth="1"/>
    <col min="5126" max="5127" width="8.88671875" style="15"/>
    <col min="5128" max="5128" width="15.44140625" style="15" customWidth="1"/>
    <col min="5129" max="5129" width="5.109375" style="15" customWidth="1"/>
    <col min="5130" max="5131" width="8.88671875" style="15"/>
    <col min="5132" max="5132" width="3" style="15" customWidth="1"/>
    <col min="5133" max="5135" width="8.88671875" style="15"/>
    <col min="5136" max="5136" width="7" style="15" customWidth="1"/>
    <col min="5137" max="5376" width="8.88671875" style="15"/>
    <col min="5377" max="5377" width="3" style="15" customWidth="1"/>
    <col min="5378" max="5378" width="4.109375" style="15" customWidth="1"/>
    <col min="5379" max="5379" width="54" style="15" customWidth="1"/>
    <col min="5380" max="5380" width="3.6640625" style="15" customWidth="1"/>
    <col min="5381" max="5381" width="90.33203125" style="15" customWidth="1"/>
    <col min="5382" max="5383" width="8.88671875" style="15"/>
    <col min="5384" max="5384" width="15.44140625" style="15" customWidth="1"/>
    <col min="5385" max="5385" width="5.109375" style="15" customWidth="1"/>
    <col min="5386" max="5387" width="8.88671875" style="15"/>
    <col min="5388" max="5388" width="3" style="15" customWidth="1"/>
    <col min="5389" max="5391" width="8.88671875" style="15"/>
    <col min="5392" max="5392" width="7" style="15" customWidth="1"/>
    <col min="5393" max="5632" width="8.88671875" style="15"/>
    <col min="5633" max="5633" width="3" style="15" customWidth="1"/>
    <col min="5634" max="5634" width="4.109375" style="15" customWidth="1"/>
    <col min="5635" max="5635" width="54" style="15" customWidth="1"/>
    <col min="5636" max="5636" width="3.6640625" style="15" customWidth="1"/>
    <col min="5637" max="5637" width="90.33203125" style="15" customWidth="1"/>
    <col min="5638" max="5639" width="8.88671875" style="15"/>
    <col min="5640" max="5640" width="15.44140625" style="15" customWidth="1"/>
    <col min="5641" max="5641" width="5.109375" style="15" customWidth="1"/>
    <col min="5642" max="5643" width="8.88671875" style="15"/>
    <col min="5644" max="5644" width="3" style="15" customWidth="1"/>
    <col min="5645" max="5647" width="8.88671875" style="15"/>
    <col min="5648" max="5648" width="7" style="15" customWidth="1"/>
    <col min="5649" max="5888" width="8.88671875" style="15"/>
    <col min="5889" max="5889" width="3" style="15" customWidth="1"/>
    <col min="5890" max="5890" width="4.109375" style="15" customWidth="1"/>
    <col min="5891" max="5891" width="54" style="15" customWidth="1"/>
    <col min="5892" max="5892" width="3.6640625" style="15" customWidth="1"/>
    <col min="5893" max="5893" width="90.33203125" style="15" customWidth="1"/>
    <col min="5894" max="5895" width="8.88671875" style="15"/>
    <col min="5896" max="5896" width="15.44140625" style="15" customWidth="1"/>
    <col min="5897" max="5897" width="5.109375" style="15" customWidth="1"/>
    <col min="5898" max="5899" width="8.88671875" style="15"/>
    <col min="5900" max="5900" width="3" style="15" customWidth="1"/>
    <col min="5901" max="5903" width="8.88671875" style="15"/>
    <col min="5904" max="5904" width="7" style="15" customWidth="1"/>
    <col min="5905" max="6144" width="8.88671875" style="15"/>
    <col min="6145" max="6145" width="3" style="15" customWidth="1"/>
    <col min="6146" max="6146" width="4.109375" style="15" customWidth="1"/>
    <col min="6147" max="6147" width="54" style="15" customWidth="1"/>
    <col min="6148" max="6148" width="3.6640625" style="15" customWidth="1"/>
    <col min="6149" max="6149" width="90.33203125" style="15" customWidth="1"/>
    <col min="6150" max="6151" width="8.88671875" style="15"/>
    <col min="6152" max="6152" width="15.44140625" style="15" customWidth="1"/>
    <col min="6153" max="6153" width="5.109375" style="15" customWidth="1"/>
    <col min="6154" max="6155" width="8.88671875" style="15"/>
    <col min="6156" max="6156" width="3" style="15" customWidth="1"/>
    <col min="6157" max="6159" width="8.88671875" style="15"/>
    <col min="6160" max="6160" width="7" style="15" customWidth="1"/>
    <col min="6161" max="6400" width="8.88671875" style="15"/>
    <col min="6401" max="6401" width="3" style="15" customWidth="1"/>
    <col min="6402" max="6402" width="4.109375" style="15" customWidth="1"/>
    <col min="6403" max="6403" width="54" style="15" customWidth="1"/>
    <col min="6404" max="6404" width="3.6640625" style="15" customWidth="1"/>
    <col min="6405" max="6405" width="90.33203125" style="15" customWidth="1"/>
    <col min="6406" max="6407" width="8.88671875" style="15"/>
    <col min="6408" max="6408" width="15.44140625" style="15" customWidth="1"/>
    <col min="6409" max="6409" width="5.109375" style="15" customWidth="1"/>
    <col min="6410" max="6411" width="8.88671875" style="15"/>
    <col min="6412" max="6412" width="3" style="15" customWidth="1"/>
    <col min="6413" max="6415" width="8.88671875" style="15"/>
    <col min="6416" max="6416" width="7" style="15" customWidth="1"/>
    <col min="6417" max="6656" width="8.88671875" style="15"/>
    <col min="6657" max="6657" width="3" style="15" customWidth="1"/>
    <col min="6658" max="6658" width="4.109375" style="15" customWidth="1"/>
    <col min="6659" max="6659" width="54" style="15" customWidth="1"/>
    <col min="6660" max="6660" width="3.6640625" style="15" customWidth="1"/>
    <col min="6661" max="6661" width="90.33203125" style="15" customWidth="1"/>
    <col min="6662" max="6663" width="8.88671875" style="15"/>
    <col min="6664" max="6664" width="15.44140625" style="15" customWidth="1"/>
    <col min="6665" max="6665" width="5.109375" style="15" customWidth="1"/>
    <col min="6666" max="6667" width="8.88671875" style="15"/>
    <col min="6668" max="6668" width="3" style="15" customWidth="1"/>
    <col min="6669" max="6671" width="8.88671875" style="15"/>
    <col min="6672" max="6672" width="7" style="15" customWidth="1"/>
    <col min="6673" max="6912" width="8.88671875" style="15"/>
    <col min="6913" max="6913" width="3" style="15" customWidth="1"/>
    <col min="6914" max="6914" width="4.109375" style="15" customWidth="1"/>
    <col min="6915" max="6915" width="54" style="15" customWidth="1"/>
    <col min="6916" max="6916" width="3.6640625" style="15" customWidth="1"/>
    <col min="6917" max="6917" width="90.33203125" style="15" customWidth="1"/>
    <col min="6918" max="6919" width="8.88671875" style="15"/>
    <col min="6920" max="6920" width="15.44140625" style="15" customWidth="1"/>
    <col min="6921" max="6921" width="5.109375" style="15" customWidth="1"/>
    <col min="6922" max="6923" width="8.88671875" style="15"/>
    <col min="6924" max="6924" width="3" style="15" customWidth="1"/>
    <col min="6925" max="6927" width="8.88671875" style="15"/>
    <col min="6928" max="6928" width="7" style="15" customWidth="1"/>
    <col min="6929" max="7168" width="8.88671875" style="15"/>
    <col min="7169" max="7169" width="3" style="15" customWidth="1"/>
    <col min="7170" max="7170" width="4.109375" style="15" customWidth="1"/>
    <col min="7171" max="7171" width="54" style="15" customWidth="1"/>
    <col min="7172" max="7172" width="3.6640625" style="15" customWidth="1"/>
    <col min="7173" max="7173" width="90.33203125" style="15" customWidth="1"/>
    <col min="7174" max="7175" width="8.88671875" style="15"/>
    <col min="7176" max="7176" width="15.44140625" style="15" customWidth="1"/>
    <col min="7177" max="7177" width="5.109375" style="15" customWidth="1"/>
    <col min="7178" max="7179" width="8.88671875" style="15"/>
    <col min="7180" max="7180" width="3" style="15" customWidth="1"/>
    <col min="7181" max="7183" width="8.88671875" style="15"/>
    <col min="7184" max="7184" width="7" style="15" customWidth="1"/>
    <col min="7185" max="7424" width="8.88671875" style="15"/>
    <col min="7425" max="7425" width="3" style="15" customWidth="1"/>
    <col min="7426" max="7426" width="4.109375" style="15" customWidth="1"/>
    <col min="7427" max="7427" width="54" style="15" customWidth="1"/>
    <col min="7428" max="7428" width="3.6640625" style="15" customWidth="1"/>
    <col min="7429" max="7429" width="90.33203125" style="15" customWidth="1"/>
    <col min="7430" max="7431" width="8.88671875" style="15"/>
    <col min="7432" max="7432" width="15.44140625" style="15" customWidth="1"/>
    <col min="7433" max="7433" width="5.109375" style="15" customWidth="1"/>
    <col min="7434" max="7435" width="8.88671875" style="15"/>
    <col min="7436" max="7436" width="3" style="15" customWidth="1"/>
    <col min="7437" max="7439" width="8.88671875" style="15"/>
    <col min="7440" max="7440" width="7" style="15" customWidth="1"/>
    <col min="7441" max="7680" width="8.88671875" style="15"/>
    <col min="7681" max="7681" width="3" style="15" customWidth="1"/>
    <col min="7682" max="7682" width="4.109375" style="15" customWidth="1"/>
    <col min="7683" max="7683" width="54" style="15" customWidth="1"/>
    <col min="7684" max="7684" width="3.6640625" style="15" customWidth="1"/>
    <col min="7685" max="7685" width="90.33203125" style="15" customWidth="1"/>
    <col min="7686" max="7687" width="8.88671875" style="15"/>
    <col min="7688" max="7688" width="15.44140625" style="15" customWidth="1"/>
    <col min="7689" max="7689" width="5.109375" style="15" customWidth="1"/>
    <col min="7690" max="7691" width="8.88671875" style="15"/>
    <col min="7692" max="7692" width="3" style="15" customWidth="1"/>
    <col min="7693" max="7695" width="8.88671875" style="15"/>
    <col min="7696" max="7696" width="7" style="15" customWidth="1"/>
    <col min="7697" max="7936" width="8.88671875" style="15"/>
    <col min="7937" max="7937" width="3" style="15" customWidth="1"/>
    <col min="7938" max="7938" width="4.109375" style="15" customWidth="1"/>
    <col min="7939" max="7939" width="54" style="15" customWidth="1"/>
    <col min="7940" max="7940" width="3.6640625" style="15" customWidth="1"/>
    <col min="7941" max="7941" width="90.33203125" style="15" customWidth="1"/>
    <col min="7942" max="7943" width="8.88671875" style="15"/>
    <col min="7944" max="7944" width="15.44140625" style="15" customWidth="1"/>
    <col min="7945" max="7945" width="5.109375" style="15" customWidth="1"/>
    <col min="7946" max="7947" width="8.88671875" style="15"/>
    <col min="7948" max="7948" width="3" style="15" customWidth="1"/>
    <col min="7949" max="7951" width="8.88671875" style="15"/>
    <col min="7952" max="7952" width="7" style="15" customWidth="1"/>
    <col min="7953" max="8192" width="8.88671875" style="15"/>
    <col min="8193" max="8193" width="3" style="15" customWidth="1"/>
    <col min="8194" max="8194" width="4.109375" style="15" customWidth="1"/>
    <col min="8195" max="8195" width="54" style="15" customWidth="1"/>
    <col min="8196" max="8196" width="3.6640625" style="15" customWidth="1"/>
    <col min="8197" max="8197" width="90.33203125" style="15" customWidth="1"/>
    <col min="8198" max="8199" width="8.88671875" style="15"/>
    <col min="8200" max="8200" width="15.44140625" style="15" customWidth="1"/>
    <col min="8201" max="8201" width="5.109375" style="15" customWidth="1"/>
    <col min="8202" max="8203" width="8.88671875" style="15"/>
    <col min="8204" max="8204" width="3" style="15" customWidth="1"/>
    <col min="8205" max="8207" width="8.88671875" style="15"/>
    <col min="8208" max="8208" width="7" style="15" customWidth="1"/>
    <col min="8209" max="8448" width="8.88671875" style="15"/>
    <col min="8449" max="8449" width="3" style="15" customWidth="1"/>
    <col min="8450" max="8450" width="4.109375" style="15" customWidth="1"/>
    <col min="8451" max="8451" width="54" style="15" customWidth="1"/>
    <col min="8452" max="8452" width="3.6640625" style="15" customWidth="1"/>
    <col min="8453" max="8453" width="90.33203125" style="15" customWidth="1"/>
    <col min="8454" max="8455" width="8.88671875" style="15"/>
    <col min="8456" max="8456" width="15.44140625" style="15" customWidth="1"/>
    <col min="8457" max="8457" width="5.109375" style="15" customWidth="1"/>
    <col min="8458" max="8459" width="8.88671875" style="15"/>
    <col min="8460" max="8460" width="3" style="15" customWidth="1"/>
    <col min="8461" max="8463" width="8.88671875" style="15"/>
    <col min="8464" max="8464" width="7" style="15" customWidth="1"/>
    <col min="8465" max="8704" width="8.88671875" style="15"/>
    <col min="8705" max="8705" width="3" style="15" customWidth="1"/>
    <col min="8706" max="8706" width="4.109375" style="15" customWidth="1"/>
    <col min="8707" max="8707" width="54" style="15" customWidth="1"/>
    <col min="8708" max="8708" width="3.6640625" style="15" customWidth="1"/>
    <col min="8709" max="8709" width="90.33203125" style="15" customWidth="1"/>
    <col min="8710" max="8711" width="8.88671875" style="15"/>
    <col min="8712" max="8712" width="15.44140625" style="15" customWidth="1"/>
    <col min="8713" max="8713" width="5.109375" style="15" customWidth="1"/>
    <col min="8714" max="8715" width="8.88671875" style="15"/>
    <col min="8716" max="8716" width="3" style="15" customWidth="1"/>
    <col min="8717" max="8719" width="8.88671875" style="15"/>
    <col min="8720" max="8720" width="7" style="15" customWidth="1"/>
    <col min="8721" max="8960" width="8.88671875" style="15"/>
    <col min="8961" max="8961" width="3" style="15" customWidth="1"/>
    <col min="8962" max="8962" width="4.109375" style="15" customWidth="1"/>
    <col min="8963" max="8963" width="54" style="15" customWidth="1"/>
    <col min="8964" max="8964" width="3.6640625" style="15" customWidth="1"/>
    <col min="8965" max="8965" width="90.33203125" style="15" customWidth="1"/>
    <col min="8966" max="8967" width="8.88671875" style="15"/>
    <col min="8968" max="8968" width="15.44140625" style="15" customWidth="1"/>
    <col min="8969" max="8969" width="5.109375" style="15" customWidth="1"/>
    <col min="8970" max="8971" width="8.88671875" style="15"/>
    <col min="8972" max="8972" width="3" style="15" customWidth="1"/>
    <col min="8973" max="8975" width="8.88671875" style="15"/>
    <col min="8976" max="8976" width="7" style="15" customWidth="1"/>
    <col min="8977" max="9216" width="8.88671875" style="15"/>
    <col min="9217" max="9217" width="3" style="15" customWidth="1"/>
    <col min="9218" max="9218" width="4.109375" style="15" customWidth="1"/>
    <col min="9219" max="9219" width="54" style="15" customWidth="1"/>
    <col min="9220" max="9220" width="3.6640625" style="15" customWidth="1"/>
    <col min="9221" max="9221" width="90.33203125" style="15" customWidth="1"/>
    <col min="9222" max="9223" width="8.88671875" style="15"/>
    <col min="9224" max="9224" width="15.44140625" style="15" customWidth="1"/>
    <col min="9225" max="9225" width="5.109375" style="15" customWidth="1"/>
    <col min="9226" max="9227" width="8.88671875" style="15"/>
    <col min="9228" max="9228" width="3" style="15" customWidth="1"/>
    <col min="9229" max="9231" width="8.88671875" style="15"/>
    <col min="9232" max="9232" width="7" style="15" customWidth="1"/>
    <col min="9233" max="9472" width="8.88671875" style="15"/>
    <col min="9473" max="9473" width="3" style="15" customWidth="1"/>
    <col min="9474" max="9474" width="4.109375" style="15" customWidth="1"/>
    <col min="9475" max="9475" width="54" style="15" customWidth="1"/>
    <col min="9476" max="9476" width="3.6640625" style="15" customWidth="1"/>
    <col min="9477" max="9477" width="90.33203125" style="15" customWidth="1"/>
    <col min="9478" max="9479" width="8.88671875" style="15"/>
    <col min="9480" max="9480" width="15.44140625" style="15" customWidth="1"/>
    <col min="9481" max="9481" width="5.109375" style="15" customWidth="1"/>
    <col min="9482" max="9483" width="8.88671875" style="15"/>
    <col min="9484" max="9484" width="3" style="15" customWidth="1"/>
    <col min="9485" max="9487" width="8.88671875" style="15"/>
    <col min="9488" max="9488" width="7" style="15" customWidth="1"/>
    <col min="9489" max="9728" width="8.88671875" style="15"/>
    <col min="9729" max="9729" width="3" style="15" customWidth="1"/>
    <col min="9730" max="9730" width="4.109375" style="15" customWidth="1"/>
    <col min="9731" max="9731" width="54" style="15" customWidth="1"/>
    <col min="9732" max="9732" width="3.6640625" style="15" customWidth="1"/>
    <col min="9733" max="9733" width="90.33203125" style="15" customWidth="1"/>
    <col min="9734" max="9735" width="8.88671875" style="15"/>
    <col min="9736" max="9736" width="15.44140625" style="15" customWidth="1"/>
    <col min="9737" max="9737" width="5.109375" style="15" customWidth="1"/>
    <col min="9738" max="9739" width="8.88671875" style="15"/>
    <col min="9740" max="9740" width="3" style="15" customWidth="1"/>
    <col min="9741" max="9743" width="8.88671875" style="15"/>
    <col min="9744" max="9744" width="7" style="15" customWidth="1"/>
    <col min="9745" max="9984" width="8.88671875" style="15"/>
    <col min="9985" max="9985" width="3" style="15" customWidth="1"/>
    <col min="9986" max="9986" width="4.109375" style="15" customWidth="1"/>
    <col min="9987" max="9987" width="54" style="15" customWidth="1"/>
    <col min="9988" max="9988" width="3.6640625" style="15" customWidth="1"/>
    <col min="9989" max="9989" width="90.33203125" style="15" customWidth="1"/>
    <col min="9990" max="9991" width="8.88671875" style="15"/>
    <col min="9992" max="9992" width="15.44140625" style="15" customWidth="1"/>
    <col min="9993" max="9993" width="5.109375" style="15" customWidth="1"/>
    <col min="9994" max="9995" width="8.88671875" style="15"/>
    <col min="9996" max="9996" width="3" style="15" customWidth="1"/>
    <col min="9997" max="9999" width="8.88671875" style="15"/>
    <col min="10000" max="10000" width="7" style="15" customWidth="1"/>
    <col min="10001" max="10240" width="8.88671875" style="15"/>
    <col min="10241" max="10241" width="3" style="15" customWidth="1"/>
    <col min="10242" max="10242" width="4.109375" style="15" customWidth="1"/>
    <col min="10243" max="10243" width="54" style="15" customWidth="1"/>
    <col min="10244" max="10244" width="3.6640625" style="15" customWidth="1"/>
    <col min="10245" max="10245" width="90.33203125" style="15" customWidth="1"/>
    <col min="10246" max="10247" width="8.88671875" style="15"/>
    <col min="10248" max="10248" width="15.44140625" style="15" customWidth="1"/>
    <col min="10249" max="10249" width="5.109375" style="15" customWidth="1"/>
    <col min="10250" max="10251" width="8.88671875" style="15"/>
    <col min="10252" max="10252" width="3" style="15" customWidth="1"/>
    <col min="10253" max="10255" width="8.88671875" style="15"/>
    <col min="10256" max="10256" width="7" style="15" customWidth="1"/>
    <col min="10257" max="10496" width="8.88671875" style="15"/>
    <col min="10497" max="10497" width="3" style="15" customWidth="1"/>
    <col min="10498" max="10498" width="4.109375" style="15" customWidth="1"/>
    <col min="10499" max="10499" width="54" style="15" customWidth="1"/>
    <col min="10500" max="10500" width="3.6640625" style="15" customWidth="1"/>
    <col min="10501" max="10501" width="90.33203125" style="15" customWidth="1"/>
    <col min="10502" max="10503" width="8.88671875" style="15"/>
    <col min="10504" max="10504" width="15.44140625" style="15" customWidth="1"/>
    <col min="10505" max="10505" width="5.109375" style="15" customWidth="1"/>
    <col min="10506" max="10507" width="8.88671875" style="15"/>
    <col min="10508" max="10508" width="3" style="15" customWidth="1"/>
    <col min="10509" max="10511" width="8.88671875" style="15"/>
    <col min="10512" max="10512" width="7" style="15" customWidth="1"/>
    <col min="10513" max="10752" width="8.88671875" style="15"/>
    <col min="10753" max="10753" width="3" style="15" customWidth="1"/>
    <col min="10754" max="10754" width="4.109375" style="15" customWidth="1"/>
    <col min="10755" max="10755" width="54" style="15" customWidth="1"/>
    <col min="10756" max="10756" width="3.6640625" style="15" customWidth="1"/>
    <col min="10757" max="10757" width="90.33203125" style="15" customWidth="1"/>
    <col min="10758" max="10759" width="8.88671875" style="15"/>
    <col min="10760" max="10760" width="15.44140625" style="15" customWidth="1"/>
    <col min="10761" max="10761" width="5.109375" style="15" customWidth="1"/>
    <col min="10762" max="10763" width="8.88671875" style="15"/>
    <col min="10764" max="10764" width="3" style="15" customWidth="1"/>
    <col min="10765" max="10767" width="8.88671875" style="15"/>
    <col min="10768" max="10768" width="7" style="15" customWidth="1"/>
    <col min="10769" max="11008" width="8.88671875" style="15"/>
    <col min="11009" max="11009" width="3" style="15" customWidth="1"/>
    <col min="11010" max="11010" width="4.109375" style="15" customWidth="1"/>
    <col min="11011" max="11011" width="54" style="15" customWidth="1"/>
    <col min="11012" max="11012" width="3.6640625" style="15" customWidth="1"/>
    <col min="11013" max="11013" width="90.33203125" style="15" customWidth="1"/>
    <col min="11014" max="11015" width="8.88671875" style="15"/>
    <col min="11016" max="11016" width="15.44140625" style="15" customWidth="1"/>
    <col min="11017" max="11017" width="5.109375" style="15" customWidth="1"/>
    <col min="11018" max="11019" width="8.88671875" style="15"/>
    <col min="11020" max="11020" width="3" style="15" customWidth="1"/>
    <col min="11021" max="11023" width="8.88671875" style="15"/>
    <col min="11024" max="11024" width="7" style="15" customWidth="1"/>
    <col min="11025" max="11264" width="8.88671875" style="15"/>
    <col min="11265" max="11265" width="3" style="15" customWidth="1"/>
    <col min="11266" max="11266" width="4.109375" style="15" customWidth="1"/>
    <col min="11267" max="11267" width="54" style="15" customWidth="1"/>
    <col min="11268" max="11268" width="3.6640625" style="15" customWidth="1"/>
    <col min="11269" max="11269" width="90.33203125" style="15" customWidth="1"/>
    <col min="11270" max="11271" width="8.88671875" style="15"/>
    <col min="11272" max="11272" width="15.44140625" style="15" customWidth="1"/>
    <col min="11273" max="11273" width="5.109375" style="15" customWidth="1"/>
    <col min="11274" max="11275" width="8.88671875" style="15"/>
    <col min="11276" max="11276" width="3" style="15" customWidth="1"/>
    <col min="11277" max="11279" width="8.88671875" style="15"/>
    <col min="11280" max="11280" width="7" style="15" customWidth="1"/>
    <col min="11281" max="11520" width="8.88671875" style="15"/>
    <col min="11521" max="11521" width="3" style="15" customWidth="1"/>
    <col min="11522" max="11522" width="4.109375" style="15" customWidth="1"/>
    <col min="11523" max="11523" width="54" style="15" customWidth="1"/>
    <col min="11524" max="11524" width="3.6640625" style="15" customWidth="1"/>
    <col min="11525" max="11525" width="90.33203125" style="15" customWidth="1"/>
    <col min="11526" max="11527" width="8.88671875" style="15"/>
    <col min="11528" max="11528" width="15.44140625" style="15" customWidth="1"/>
    <col min="11529" max="11529" width="5.109375" style="15" customWidth="1"/>
    <col min="11530" max="11531" width="8.88671875" style="15"/>
    <col min="11532" max="11532" width="3" style="15" customWidth="1"/>
    <col min="11533" max="11535" width="8.88671875" style="15"/>
    <col min="11536" max="11536" width="7" style="15" customWidth="1"/>
    <col min="11537" max="11776" width="8.88671875" style="15"/>
    <col min="11777" max="11777" width="3" style="15" customWidth="1"/>
    <col min="11778" max="11778" width="4.109375" style="15" customWidth="1"/>
    <col min="11779" max="11779" width="54" style="15" customWidth="1"/>
    <col min="11780" max="11780" width="3.6640625" style="15" customWidth="1"/>
    <col min="11781" max="11781" width="90.33203125" style="15" customWidth="1"/>
    <col min="11782" max="11783" width="8.88671875" style="15"/>
    <col min="11784" max="11784" width="15.44140625" style="15" customWidth="1"/>
    <col min="11785" max="11785" width="5.109375" style="15" customWidth="1"/>
    <col min="11786" max="11787" width="8.88671875" style="15"/>
    <col min="11788" max="11788" width="3" style="15" customWidth="1"/>
    <col min="11789" max="11791" width="8.88671875" style="15"/>
    <col min="11792" max="11792" width="7" style="15" customWidth="1"/>
    <col min="11793" max="12032" width="8.88671875" style="15"/>
    <col min="12033" max="12033" width="3" style="15" customWidth="1"/>
    <col min="12034" max="12034" width="4.109375" style="15" customWidth="1"/>
    <col min="12035" max="12035" width="54" style="15" customWidth="1"/>
    <col min="12036" max="12036" width="3.6640625" style="15" customWidth="1"/>
    <col min="12037" max="12037" width="90.33203125" style="15" customWidth="1"/>
    <col min="12038" max="12039" width="8.88671875" style="15"/>
    <col min="12040" max="12040" width="15.44140625" style="15" customWidth="1"/>
    <col min="12041" max="12041" width="5.109375" style="15" customWidth="1"/>
    <col min="12042" max="12043" width="8.88671875" style="15"/>
    <col min="12044" max="12044" width="3" style="15" customWidth="1"/>
    <col min="12045" max="12047" width="8.88671875" style="15"/>
    <col min="12048" max="12048" width="7" style="15" customWidth="1"/>
    <col min="12049" max="12288" width="8.88671875" style="15"/>
    <col min="12289" max="12289" width="3" style="15" customWidth="1"/>
    <col min="12290" max="12290" width="4.109375" style="15" customWidth="1"/>
    <col min="12291" max="12291" width="54" style="15" customWidth="1"/>
    <col min="12292" max="12292" width="3.6640625" style="15" customWidth="1"/>
    <col min="12293" max="12293" width="90.33203125" style="15" customWidth="1"/>
    <col min="12294" max="12295" width="8.88671875" style="15"/>
    <col min="12296" max="12296" width="15.44140625" style="15" customWidth="1"/>
    <col min="12297" max="12297" width="5.109375" style="15" customWidth="1"/>
    <col min="12298" max="12299" width="8.88671875" style="15"/>
    <col min="12300" max="12300" width="3" style="15" customWidth="1"/>
    <col min="12301" max="12303" width="8.88671875" style="15"/>
    <col min="12304" max="12304" width="7" style="15" customWidth="1"/>
    <col min="12305" max="12544" width="8.88671875" style="15"/>
    <col min="12545" max="12545" width="3" style="15" customWidth="1"/>
    <col min="12546" max="12546" width="4.109375" style="15" customWidth="1"/>
    <col min="12547" max="12547" width="54" style="15" customWidth="1"/>
    <col min="12548" max="12548" width="3.6640625" style="15" customWidth="1"/>
    <col min="12549" max="12549" width="90.33203125" style="15" customWidth="1"/>
    <col min="12550" max="12551" width="8.88671875" style="15"/>
    <col min="12552" max="12552" width="15.44140625" style="15" customWidth="1"/>
    <col min="12553" max="12553" width="5.109375" style="15" customWidth="1"/>
    <col min="12554" max="12555" width="8.88671875" style="15"/>
    <col min="12556" max="12556" width="3" style="15" customWidth="1"/>
    <col min="12557" max="12559" width="8.88671875" style="15"/>
    <col min="12560" max="12560" width="7" style="15" customWidth="1"/>
    <col min="12561" max="12800" width="8.88671875" style="15"/>
    <col min="12801" max="12801" width="3" style="15" customWidth="1"/>
    <col min="12802" max="12802" width="4.109375" style="15" customWidth="1"/>
    <col min="12803" max="12803" width="54" style="15" customWidth="1"/>
    <col min="12804" max="12804" width="3.6640625" style="15" customWidth="1"/>
    <col min="12805" max="12805" width="90.33203125" style="15" customWidth="1"/>
    <col min="12806" max="12807" width="8.88671875" style="15"/>
    <col min="12808" max="12808" width="15.44140625" style="15" customWidth="1"/>
    <col min="12809" max="12809" width="5.109375" style="15" customWidth="1"/>
    <col min="12810" max="12811" width="8.88671875" style="15"/>
    <col min="12812" max="12812" width="3" style="15" customWidth="1"/>
    <col min="12813" max="12815" width="8.88671875" style="15"/>
    <col min="12816" max="12816" width="7" style="15" customWidth="1"/>
    <col min="12817" max="13056" width="8.88671875" style="15"/>
    <col min="13057" max="13057" width="3" style="15" customWidth="1"/>
    <col min="13058" max="13058" width="4.109375" style="15" customWidth="1"/>
    <col min="13059" max="13059" width="54" style="15" customWidth="1"/>
    <col min="13060" max="13060" width="3.6640625" style="15" customWidth="1"/>
    <col min="13061" max="13061" width="90.33203125" style="15" customWidth="1"/>
    <col min="13062" max="13063" width="8.88671875" style="15"/>
    <col min="13064" max="13064" width="15.44140625" style="15" customWidth="1"/>
    <col min="13065" max="13065" width="5.109375" style="15" customWidth="1"/>
    <col min="13066" max="13067" width="8.88671875" style="15"/>
    <col min="13068" max="13068" width="3" style="15" customWidth="1"/>
    <col min="13069" max="13071" width="8.88671875" style="15"/>
    <col min="13072" max="13072" width="7" style="15" customWidth="1"/>
    <col min="13073" max="13312" width="8.88671875" style="15"/>
    <col min="13313" max="13313" width="3" style="15" customWidth="1"/>
    <col min="13314" max="13314" width="4.109375" style="15" customWidth="1"/>
    <col min="13315" max="13315" width="54" style="15" customWidth="1"/>
    <col min="13316" max="13316" width="3.6640625" style="15" customWidth="1"/>
    <col min="13317" max="13317" width="90.33203125" style="15" customWidth="1"/>
    <col min="13318" max="13319" width="8.88671875" style="15"/>
    <col min="13320" max="13320" width="15.44140625" style="15" customWidth="1"/>
    <col min="13321" max="13321" width="5.109375" style="15" customWidth="1"/>
    <col min="13322" max="13323" width="8.88671875" style="15"/>
    <col min="13324" max="13324" width="3" style="15" customWidth="1"/>
    <col min="13325" max="13327" width="8.88671875" style="15"/>
    <col min="13328" max="13328" width="7" style="15" customWidth="1"/>
    <col min="13329" max="13568" width="8.88671875" style="15"/>
    <col min="13569" max="13569" width="3" style="15" customWidth="1"/>
    <col min="13570" max="13570" width="4.109375" style="15" customWidth="1"/>
    <col min="13571" max="13571" width="54" style="15" customWidth="1"/>
    <col min="13572" max="13572" width="3.6640625" style="15" customWidth="1"/>
    <col min="13573" max="13573" width="90.33203125" style="15" customWidth="1"/>
    <col min="13574" max="13575" width="8.88671875" style="15"/>
    <col min="13576" max="13576" width="15.44140625" style="15" customWidth="1"/>
    <col min="13577" max="13577" width="5.109375" style="15" customWidth="1"/>
    <col min="13578" max="13579" width="8.88671875" style="15"/>
    <col min="13580" max="13580" width="3" style="15" customWidth="1"/>
    <col min="13581" max="13583" width="8.88671875" style="15"/>
    <col min="13584" max="13584" width="7" style="15" customWidth="1"/>
    <col min="13585" max="13824" width="8.88671875" style="15"/>
    <col min="13825" max="13825" width="3" style="15" customWidth="1"/>
    <col min="13826" max="13826" width="4.109375" style="15" customWidth="1"/>
    <col min="13827" max="13827" width="54" style="15" customWidth="1"/>
    <col min="13828" max="13828" width="3.6640625" style="15" customWidth="1"/>
    <col min="13829" max="13829" width="90.33203125" style="15" customWidth="1"/>
    <col min="13830" max="13831" width="8.88671875" style="15"/>
    <col min="13832" max="13832" width="15.44140625" style="15" customWidth="1"/>
    <col min="13833" max="13833" width="5.109375" style="15" customWidth="1"/>
    <col min="13834" max="13835" width="8.88671875" style="15"/>
    <col min="13836" max="13836" width="3" style="15" customWidth="1"/>
    <col min="13837" max="13839" width="8.88671875" style="15"/>
    <col min="13840" max="13840" width="7" style="15" customWidth="1"/>
    <col min="13841" max="14080" width="8.88671875" style="15"/>
    <col min="14081" max="14081" width="3" style="15" customWidth="1"/>
    <col min="14082" max="14082" width="4.109375" style="15" customWidth="1"/>
    <col min="14083" max="14083" width="54" style="15" customWidth="1"/>
    <col min="14084" max="14084" width="3.6640625" style="15" customWidth="1"/>
    <col min="14085" max="14085" width="90.33203125" style="15" customWidth="1"/>
    <col min="14086" max="14087" width="8.88671875" style="15"/>
    <col min="14088" max="14088" width="15.44140625" style="15" customWidth="1"/>
    <col min="14089" max="14089" width="5.109375" style="15" customWidth="1"/>
    <col min="14090" max="14091" width="8.88671875" style="15"/>
    <col min="14092" max="14092" width="3" style="15" customWidth="1"/>
    <col min="14093" max="14095" width="8.88671875" style="15"/>
    <col min="14096" max="14096" width="7" style="15" customWidth="1"/>
    <col min="14097" max="14336" width="8.88671875" style="15"/>
    <col min="14337" max="14337" width="3" style="15" customWidth="1"/>
    <col min="14338" max="14338" width="4.109375" style="15" customWidth="1"/>
    <col min="14339" max="14339" width="54" style="15" customWidth="1"/>
    <col min="14340" max="14340" width="3.6640625" style="15" customWidth="1"/>
    <col min="14341" max="14341" width="90.33203125" style="15" customWidth="1"/>
    <col min="14342" max="14343" width="8.88671875" style="15"/>
    <col min="14344" max="14344" width="15.44140625" style="15" customWidth="1"/>
    <col min="14345" max="14345" width="5.109375" style="15" customWidth="1"/>
    <col min="14346" max="14347" width="8.88671875" style="15"/>
    <col min="14348" max="14348" width="3" style="15" customWidth="1"/>
    <col min="14349" max="14351" width="8.88671875" style="15"/>
    <col min="14352" max="14352" width="7" style="15" customWidth="1"/>
    <col min="14353" max="14592" width="8.88671875" style="15"/>
    <col min="14593" max="14593" width="3" style="15" customWidth="1"/>
    <col min="14594" max="14594" width="4.109375" style="15" customWidth="1"/>
    <col min="14595" max="14595" width="54" style="15" customWidth="1"/>
    <col min="14596" max="14596" width="3.6640625" style="15" customWidth="1"/>
    <col min="14597" max="14597" width="90.33203125" style="15" customWidth="1"/>
    <col min="14598" max="14599" width="8.88671875" style="15"/>
    <col min="14600" max="14600" width="15.44140625" style="15" customWidth="1"/>
    <col min="14601" max="14601" width="5.109375" style="15" customWidth="1"/>
    <col min="14602" max="14603" width="8.88671875" style="15"/>
    <col min="14604" max="14604" width="3" style="15" customWidth="1"/>
    <col min="14605" max="14607" width="8.88671875" style="15"/>
    <col min="14608" max="14608" width="7" style="15" customWidth="1"/>
    <col min="14609" max="14848" width="8.88671875" style="15"/>
    <col min="14849" max="14849" width="3" style="15" customWidth="1"/>
    <col min="14850" max="14850" width="4.109375" style="15" customWidth="1"/>
    <col min="14851" max="14851" width="54" style="15" customWidth="1"/>
    <col min="14852" max="14852" width="3.6640625" style="15" customWidth="1"/>
    <col min="14853" max="14853" width="90.33203125" style="15" customWidth="1"/>
    <col min="14854" max="14855" width="8.88671875" style="15"/>
    <col min="14856" max="14856" width="15.44140625" style="15" customWidth="1"/>
    <col min="14857" max="14857" width="5.109375" style="15" customWidth="1"/>
    <col min="14858" max="14859" width="8.88671875" style="15"/>
    <col min="14860" max="14860" width="3" style="15" customWidth="1"/>
    <col min="14861" max="14863" width="8.88671875" style="15"/>
    <col min="14864" max="14864" width="7" style="15" customWidth="1"/>
    <col min="14865" max="15104" width="8.88671875" style="15"/>
    <col min="15105" max="15105" width="3" style="15" customWidth="1"/>
    <col min="15106" max="15106" width="4.109375" style="15" customWidth="1"/>
    <col min="15107" max="15107" width="54" style="15" customWidth="1"/>
    <col min="15108" max="15108" width="3.6640625" style="15" customWidth="1"/>
    <col min="15109" max="15109" width="90.33203125" style="15" customWidth="1"/>
    <col min="15110" max="15111" width="8.88671875" style="15"/>
    <col min="15112" max="15112" width="15.44140625" style="15" customWidth="1"/>
    <col min="15113" max="15113" width="5.109375" style="15" customWidth="1"/>
    <col min="15114" max="15115" width="8.88671875" style="15"/>
    <col min="15116" max="15116" width="3" style="15" customWidth="1"/>
    <col min="15117" max="15119" width="8.88671875" style="15"/>
    <col min="15120" max="15120" width="7" style="15" customWidth="1"/>
    <col min="15121" max="15360" width="8.88671875" style="15"/>
    <col min="15361" max="15361" width="3" style="15" customWidth="1"/>
    <col min="15362" max="15362" width="4.109375" style="15" customWidth="1"/>
    <col min="15363" max="15363" width="54" style="15" customWidth="1"/>
    <col min="15364" max="15364" width="3.6640625" style="15" customWidth="1"/>
    <col min="15365" max="15365" width="90.33203125" style="15" customWidth="1"/>
    <col min="15366" max="15367" width="8.88671875" style="15"/>
    <col min="15368" max="15368" width="15.44140625" style="15" customWidth="1"/>
    <col min="15369" max="15369" width="5.109375" style="15" customWidth="1"/>
    <col min="15370" max="15371" width="8.88671875" style="15"/>
    <col min="15372" max="15372" width="3" style="15" customWidth="1"/>
    <col min="15373" max="15375" width="8.88671875" style="15"/>
    <col min="15376" max="15376" width="7" style="15" customWidth="1"/>
    <col min="15377" max="15616" width="8.88671875" style="15"/>
    <col min="15617" max="15617" width="3" style="15" customWidth="1"/>
    <col min="15618" max="15618" width="4.109375" style="15" customWidth="1"/>
    <col min="15619" max="15619" width="54" style="15" customWidth="1"/>
    <col min="15620" max="15620" width="3.6640625" style="15" customWidth="1"/>
    <col min="15621" max="15621" width="90.33203125" style="15" customWidth="1"/>
    <col min="15622" max="15623" width="8.88671875" style="15"/>
    <col min="15624" max="15624" width="15.44140625" style="15" customWidth="1"/>
    <col min="15625" max="15625" width="5.109375" style="15" customWidth="1"/>
    <col min="15626" max="15627" width="8.88671875" style="15"/>
    <col min="15628" max="15628" width="3" style="15" customWidth="1"/>
    <col min="15629" max="15631" width="8.88671875" style="15"/>
    <col min="15632" max="15632" width="7" style="15" customWidth="1"/>
    <col min="15633" max="15872" width="8.88671875" style="15"/>
    <col min="15873" max="15873" width="3" style="15" customWidth="1"/>
    <col min="15874" max="15874" width="4.109375" style="15" customWidth="1"/>
    <col min="15875" max="15875" width="54" style="15" customWidth="1"/>
    <col min="15876" max="15876" width="3.6640625" style="15" customWidth="1"/>
    <col min="15877" max="15877" width="90.33203125" style="15" customWidth="1"/>
    <col min="15878" max="15879" width="8.88671875" style="15"/>
    <col min="15880" max="15880" width="15.44140625" style="15" customWidth="1"/>
    <col min="15881" max="15881" width="5.109375" style="15" customWidth="1"/>
    <col min="15882" max="15883" width="8.88671875" style="15"/>
    <col min="15884" max="15884" width="3" style="15" customWidth="1"/>
    <col min="15885" max="15887" width="8.88671875" style="15"/>
    <col min="15888" max="15888" width="7" style="15" customWidth="1"/>
    <col min="15889" max="16128" width="8.88671875" style="15"/>
    <col min="16129" max="16129" width="3" style="15" customWidth="1"/>
    <col min="16130" max="16130" width="4.109375" style="15" customWidth="1"/>
    <col min="16131" max="16131" width="54" style="15" customWidth="1"/>
    <col min="16132" max="16132" width="3.6640625" style="15" customWidth="1"/>
    <col min="16133" max="16133" width="90.33203125" style="15" customWidth="1"/>
    <col min="16134" max="16135" width="8.88671875" style="15"/>
    <col min="16136" max="16136" width="15.44140625" style="15" customWidth="1"/>
    <col min="16137" max="16137" width="5.109375" style="15" customWidth="1"/>
    <col min="16138" max="16139" width="8.88671875" style="15"/>
    <col min="16140" max="16140" width="3" style="15" customWidth="1"/>
    <col min="16141" max="16143" width="8.88671875" style="15"/>
    <col min="16144" max="16144" width="7" style="15" customWidth="1"/>
    <col min="16145" max="16384" width="8.88671875" style="15"/>
  </cols>
  <sheetData>
    <row r="1" ht="30" customHeight="1" x14ac:dyDescent="0.3"/>
    <row r="2" ht="9.9" customHeight="1" x14ac:dyDescent="0.3"/>
    <row r="3" ht="25.5" customHeight="1" x14ac:dyDescent="0.3"/>
    <row r="4" ht="21" customHeight="1" x14ac:dyDescent="0.3"/>
    <row r="6" ht="17.100000000000001" customHeight="1" x14ac:dyDescent="0.3"/>
    <row r="7" ht="17.100000000000001" customHeight="1" x14ac:dyDescent="0.3"/>
    <row r="8" ht="17.100000000000001" customHeight="1" x14ac:dyDescent="0.3"/>
    <row r="9" ht="17.100000000000001" customHeight="1" x14ac:dyDescent="0.3"/>
    <row r="10" ht="17.100000000000001" customHeight="1" x14ac:dyDescent="0.3"/>
    <row r="11" ht="17.100000000000001" customHeight="1" x14ac:dyDescent="0.3"/>
    <row r="12" ht="17.100000000000001" customHeight="1" x14ac:dyDescent="0.3"/>
    <row r="13" ht="17.100000000000001" customHeight="1" x14ac:dyDescent="0.3"/>
    <row r="14" ht="17.100000000000001" customHeight="1" x14ac:dyDescent="0.3"/>
    <row r="15" ht="17.100000000000001" customHeight="1" x14ac:dyDescent="0.3"/>
    <row r="16" ht="17.100000000000001" customHeight="1" x14ac:dyDescent="0.3"/>
    <row r="17" ht="17.100000000000001" customHeight="1" x14ac:dyDescent="0.3"/>
    <row r="18" ht="17.100000000000001" customHeight="1" x14ac:dyDescent="0.3"/>
    <row r="19" ht="17.100000000000001" customHeight="1" x14ac:dyDescent="0.3"/>
    <row r="40" spans="2:3" x14ac:dyDescent="0.3">
      <c r="B40" s="16"/>
      <c r="C40" s="1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8747-7A0C-4B5E-91F3-FF7174C55722}">
  <dimension ref="A1:K986"/>
  <sheetViews>
    <sheetView tabSelected="1" workbookViewId="0">
      <pane xSplit="1" ySplit="1" topLeftCell="B963" activePane="bottomRight" state="frozenSplit"/>
      <selection pane="topRight" activeCell="B1" sqref="B1"/>
      <selection pane="bottomLeft" activeCell="A2" sqref="A2"/>
      <selection pane="bottomRight" activeCell="C7" sqref="C7"/>
    </sheetView>
  </sheetViews>
  <sheetFormatPr defaultRowHeight="14.4" x14ac:dyDescent="0.3"/>
  <cols>
    <col min="1" max="1" width="9" style="14" bestFit="1" customWidth="1"/>
    <col min="2" max="2" width="11.6640625" style="14" customWidth="1"/>
    <col min="3" max="3" width="12" style="14" customWidth="1"/>
    <col min="4" max="4" width="30.77734375" style="14" customWidth="1"/>
    <col min="5" max="5" width="66.5546875" style="14" customWidth="1"/>
    <col min="6" max="6" width="17.44140625" style="14" bestFit="1" customWidth="1"/>
    <col min="7" max="7" width="3.5546875" style="14" bestFit="1" customWidth="1"/>
    <col min="8" max="8" width="13" style="14" bestFit="1" customWidth="1"/>
    <col min="9" max="9" width="5.109375" style="14" bestFit="1" customWidth="1"/>
    <col min="10" max="10" width="9.109375" style="14" bestFit="1" customWidth="1"/>
    <col min="11" max="11" width="10.6640625" style="14" bestFit="1" customWidth="1"/>
  </cols>
  <sheetData>
    <row r="1" spans="1:11" s="13" customFormat="1" ht="15" thickBo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 ht="15" thickTop="1" x14ac:dyDescent="0.3">
      <c r="A2" s="2" t="s">
        <v>11</v>
      </c>
      <c r="B2" s="3">
        <v>45748</v>
      </c>
      <c r="C2" s="2" t="s">
        <v>13</v>
      </c>
      <c r="D2" s="2" t="s">
        <v>312</v>
      </c>
      <c r="E2" s="2" t="s">
        <v>442</v>
      </c>
      <c r="F2" s="2" t="s">
        <v>540</v>
      </c>
      <c r="G2" s="2" t="s">
        <v>548</v>
      </c>
      <c r="H2" s="2" t="s">
        <v>553</v>
      </c>
      <c r="I2" s="4">
        <v>2</v>
      </c>
      <c r="J2" s="5">
        <v>45000</v>
      </c>
      <c r="K2" s="5">
        <f>ROUND(IF(ISNUMBER(J2), I2*J2, I2),5)</f>
        <v>90000</v>
      </c>
    </row>
    <row r="3" spans="1:11" x14ac:dyDescent="0.3">
      <c r="A3" s="2" t="s">
        <v>11</v>
      </c>
      <c r="B3" s="3">
        <v>45748</v>
      </c>
      <c r="C3" s="2" t="s">
        <v>13</v>
      </c>
      <c r="D3" s="2" t="s">
        <v>312</v>
      </c>
      <c r="E3" s="2" t="s">
        <v>443</v>
      </c>
      <c r="F3" s="2" t="s">
        <v>541</v>
      </c>
      <c r="G3" s="2" t="s">
        <v>548</v>
      </c>
      <c r="H3" s="2" t="s">
        <v>553</v>
      </c>
      <c r="I3" s="4">
        <v>2</v>
      </c>
      <c r="J3" s="5">
        <v>11000</v>
      </c>
      <c r="K3" s="5">
        <f>ROUND(IF(ISNUMBER(J3), I3*J3, I3),5)</f>
        <v>22000</v>
      </c>
    </row>
    <row r="4" spans="1:11" x14ac:dyDescent="0.3">
      <c r="A4" s="2" t="s">
        <v>11</v>
      </c>
      <c r="B4" s="3">
        <v>45748</v>
      </c>
      <c r="C4" s="2" t="s">
        <v>14</v>
      </c>
      <c r="D4" s="2" t="s">
        <v>313</v>
      </c>
      <c r="E4" s="2" t="s">
        <v>444</v>
      </c>
      <c r="F4" s="2" t="s">
        <v>519</v>
      </c>
      <c r="G4" s="2" t="s">
        <v>549</v>
      </c>
      <c r="H4" s="2" t="s">
        <v>553</v>
      </c>
      <c r="I4" s="4">
        <v>2</v>
      </c>
      <c r="J4" s="4">
        <v>136589.82999999999</v>
      </c>
      <c r="K4" s="5">
        <f>ROUND(IF(ISNUMBER(J4), I4*J4, I4),5)</f>
        <v>273179.65999999997</v>
      </c>
    </row>
    <row r="5" spans="1:11" x14ac:dyDescent="0.3">
      <c r="A5" s="2" t="s">
        <v>11</v>
      </c>
      <c r="B5" s="3">
        <v>45748</v>
      </c>
      <c r="C5" s="2" t="s">
        <v>15</v>
      </c>
      <c r="D5" s="2" t="s">
        <v>313</v>
      </c>
      <c r="E5" s="2" t="s">
        <v>445</v>
      </c>
      <c r="F5" s="2" t="s">
        <v>542</v>
      </c>
      <c r="G5" s="2" t="s">
        <v>550</v>
      </c>
      <c r="H5" s="2" t="s">
        <v>553</v>
      </c>
      <c r="I5" s="4">
        <v>1</v>
      </c>
      <c r="J5" s="5">
        <v>42200</v>
      </c>
      <c r="K5" s="5">
        <f>ROUND(IF(ISNUMBER(J5), I5*J5, I5),5)</f>
        <v>42200</v>
      </c>
    </row>
    <row r="6" spans="1:11" x14ac:dyDescent="0.3">
      <c r="A6" s="2" t="s">
        <v>11</v>
      </c>
      <c r="B6" s="3">
        <v>45748</v>
      </c>
      <c r="C6" s="2" t="s">
        <v>16</v>
      </c>
      <c r="D6" s="2" t="s">
        <v>314</v>
      </c>
      <c r="E6" s="2" t="s">
        <v>446</v>
      </c>
      <c r="F6" s="2" t="s">
        <v>519</v>
      </c>
      <c r="G6" s="2" t="s">
        <v>551</v>
      </c>
      <c r="H6" s="2" t="s">
        <v>553</v>
      </c>
      <c r="I6" s="4">
        <v>1</v>
      </c>
      <c r="J6" s="5">
        <v>64000</v>
      </c>
      <c r="K6" s="5">
        <f>ROUND(IF(ISNUMBER(J6), I6*J6, I6),5)</f>
        <v>64000</v>
      </c>
    </row>
    <row r="7" spans="1:11" x14ac:dyDescent="0.3">
      <c r="A7" s="2" t="s">
        <v>11</v>
      </c>
      <c r="B7" s="3">
        <v>45748</v>
      </c>
      <c r="C7" s="2" t="s">
        <v>16</v>
      </c>
      <c r="D7" s="2" t="s">
        <v>314</v>
      </c>
      <c r="E7" s="2" t="s">
        <v>447</v>
      </c>
      <c r="F7" s="2" t="s">
        <v>540</v>
      </c>
      <c r="G7" s="2" t="s">
        <v>551</v>
      </c>
      <c r="H7" s="2" t="s">
        <v>553</v>
      </c>
      <c r="I7" s="4">
        <v>2</v>
      </c>
      <c r="J7" s="5">
        <v>33800</v>
      </c>
      <c r="K7" s="5">
        <f>ROUND(IF(ISNUMBER(J7), I7*J7, I7),5)</f>
        <v>67600</v>
      </c>
    </row>
    <row r="8" spans="1:11" x14ac:dyDescent="0.3">
      <c r="A8" s="2" t="s">
        <v>11</v>
      </c>
      <c r="B8" s="3">
        <v>45748</v>
      </c>
      <c r="C8" s="2" t="s">
        <v>17</v>
      </c>
      <c r="D8" s="2" t="s">
        <v>315</v>
      </c>
      <c r="E8" s="2" t="s">
        <v>448</v>
      </c>
      <c r="F8" s="2" t="s">
        <v>540</v>
      </c>
      <c r="G8" s="2" t="s">
        <v>551</v>
      </c>
      <c r="H8" s="2" t="s">
        <v>553</v>
      </c>
      <c r="I8" s="4">
        <v>1</v>
      </c>
      <c r="J8" s="5">
        <v>156000</v>
      </c>
      <c r="K8" s="5">
        <f>ROUND(IF(ISNUMBER(J8), I8*J8, I8),5)</f>
        <v>156000</v>
      </c>
    </row>
    <row r="9" spans="1:11" x14ac:dyDescent="0.3">
      <c r="A9" s="2" t="s">
        <v>11</v>
      </c>
      <c r="B9" s="3">
        <v>45749</v>
      </c>
      <c r="C9" s="2" t="s">
        <v>18</v>
      </c>
      <c r="D9" s="2" t="s">
        <v>316</v>
      </c>
      <c r="E9" s="2" t="s">
        <v>449</v>
      </c>
      <c r="F9" s="2" t="s">
        <v>450</v>
      </c>
      <c r="G9" s="2" t="s">
        <v>551</v>
      </c>
      <c r="H9" s="2" t="s">
        <v>553</v>
      </c>
      <c r="I9" s="4">
        <v>1</v>
      </c>
      <c r="J9" s="5">
        <v>38500</v>
      </c>
      <c r="K9" s="5">
        <f>ROUND(IF(ISNUMBER(J9), I9*J9, I9),5)</f>
        <v>38500</v>
      </c>
    </row>
    <row r="10" spans="1:11" x14ac:dyDescent="0.3">
      <c r="A10" s="2" t="s">
        <v>11</v>
      </c>
      <c r="B10" s="3">
        <v>45749</v>
      </c>
      <c r="C10" s="2" t="s">
        <v>18</v>
      </c>
      <c r="D10" s="2" t="s">
        <v>316</v>
      </c>
      <c r="E10" s="2" t="s">
        <v>450</v>
      </c>
      <c r="F10" s="2" t="s">
        <v>450</v>
      </c>
      <c r="G10" s="2" t="s">
        <v>551</v>
      </c>
      <c r="H10" s="2" t="s">
        <v>553</v>
      </c>
      <c r="I10" s="4">
        <v>1</v>
      </c>
      <c r="J10" s="5">
        <v>20000</v>
      </c>
      <c r="K10" s="5">
        <f>ROUND(IF(ISNUMBER(J10), I10*J10, I10),5)</f>
        <v>20000</v>
      </c>
    </row>
    <row r="11" spans="1:11" x14ac:dyDescent="0.3">
      <c r="A11" s="2" t="s">
        <v>11</v>
      </c>
      <c r="B11" s="3">
        <v>45749</v>
      </c>
      <c r="C11" s="2" t="s">
        <v>19</v>
      </c>
      <c r="D11" s="2" t="s">
        <v>317</v>
      </c>
      <c r="E11" s="2" t="s">
        <v>451</v>
      </c>
      <c r="F11" s="2" t="s">
        <v>540</v>
      </c>
      <c r="G11" s="2" t="s">
        <v>548</v>
      </c>
      <c r="H11" s="2" t="s">
        <v>553</v>
      </c>
      <c r="I11" s="4">
        <v>4</v>
      </c>
      <c r="J11" s="5">
        <v>133500</v>
      </c>
      <c r="K11" s="5">
        <f>ROUND(IF(ISNUMBER(J11), I11*J11, I11),5)</f>
        <v>534000</v>
      </c>
    </row>
    <row r="12" spans="1:11" x14ac:dyDescent="0.3">
      <c r="A12" s="2" t="s">
        <v>11</v>
      </c>
      <c r="B12" s="3">
        <v>45750</v>
      </c>
      <c r="C12" s="2" t="s">
        <v>20</v>
      </c>
      <c r="D12" s="2" t="s">
        <v>318</v>
      </c>
      <c r="E12" s="2" t="s">
        <v>452</v>
      </c>
      <c r="F12" s="2" t="s">
        <v>542</v>
      </c>
      <c r="G12" s="2" t="s">
        <v>550</v>
      </c>
      <c r="H12" s="2" t="s">
        <v>554</v>
      </c>
      <c r="I12" s="4">
        <v>1</v>
      </c>
      <c r="J12" s="5">
        <v>10500</v>
      </c>
      <c r="K12" s="5">
        <f>ROUND(IF(ISNUMBER(J12), I12*J12, I12),5)</f>
        <v>10500</v>
      </c>
    </row>
    <row r="13" spans="1:11" x14ac:dyDescent="0.3">
      <c r="A13" s="2" t="s">
        <v>11</v>
      </c>
      <c r="B13" s="3">
        <v>45754</v>
      </c>
      <c r="C13" s="2" t="s">
        <v>21</v>
      </c>
      <c r="D13" s="2" t="s">
        <v>312</v>
      </c>
      <c r="E13" s="2" t="s">
        <v>444</v>
      </c>
      <c r="F13" s="2" t="s">
        <v>519</v>
      </c>
      <c r="G13" s="2" t="s">
        <v>548</v>
      </c>
      <c r="H13" s="2" t="s">
        <v>553</v>
      </c>
      <c r="I13" s="4">
        <v>1</v>
      </c>
      <c r="J13" s="5">
        <v>178800</v>
      </c>
      <c r="K13" s="5">
        <f>ROUND(IF(ISNUMBER(J13), I13*J13, I13),5)</f>
        <v>178800</v>
      </c>
    </row>
    <row r="14" spans="1:11" x14ac:dyDescent="0.3">
      <c r="A14" s="2" t="s">
        <v>11</v>
      </c>
      <c r="B14" s="3">
        <v>45754</v>
      </c>
      <c r="C14" s="2" t="s">
        <v>21</v>
      </c>
      <c r="D14" s="2" t="s">
        <v>312</v>
      </c>
      <c r="E14" s="2" t="s">
        <v>453</v>
      </c>
      <c r="F14" s="2" t="s">
        <v>540</v>
      </c>
      <c r="G14" s="2" t="s">
        <v>548</v>
      </c>
      <c r="H14" s="2" t="s">
        <v>553</v>
      </c>
      <c r="I14" s="4">
        <v>2</v>
      </c>
      <c r="J14" s="5">
        <v>88500</v>
      </c>
      <c r="K14" s="5">
        <f>ROUND(IF(ISNUMBER(J14), I14*J14, I14),5)</f>
        <v>177000</v>
      </c>
    </row>
    <row r="15" spans="1:11" x14ac:dyDescent="0.3">
      <c r="A15" s="2" t="s">
        <v>11</v>
      </c>
      <c r="B15" s="3">
        <v>45754</v>
      </c>
      <c r="C15" s="2" t="s">
        <v>21</v>
      </c>
      <c r="D15" s="2" t="s">
        <v>312</v>
      </c>
      <c r="E15" s="2" t="s">
        <v>454</v>
      </c>
      <c r="F15" s="2" t="s">
        <v>543</v>
      </c>
      <c r="G15" s="2" t="s">
        <v>548</v>
      </c>
      <c r="H15" s="2" t="s">
        <v>553</v>
      </c>
      <c r="I15" s="4">
        <v>1</v>
      </c>
      <c r="J15" s="5">
        <v>444000</v>
      </c>
      <c r="K15" s="5">
        <f>ROUND(IF(ISNUMBER(J15), I15*J15, I15),5)</f>
        <v>444000</v>
      </c>
    </row>
    <row r="16" spans="1:11" x14ac:dyDescent="0.3">
      <c r="A16" s="2" t="s">
        <v>11</v>
      </c>
      <c r="B16" s="3">
        <v>45754</v>
      </c>
      <c r="C16" s="2" t="s">
        <v>22</v>
      </c>
      <c r="D16" s="2" t="s">
        <v>319</v>
      </c>
      <c r="E16" s="2" t="s">
        <v>455</v>
      </c>
      <c r="F16" s="2" t="s">
        <v>542</v>
      </c>
      <c r="G16" s="2" t="s">
        <v>551</v>
      </c>
      <c r="H16" s="2" t="s">
        <v>554</v>
      </c>
      <c r="I16" s="4">
        <v>2</v>
      </c>
      <c r="J16" s="5">
        <v>4800</v>
      </c>
      <c r="K16" s="5">
        <f>ROUND(IF(ISNUMBER(J16), I16*J16, I16),5)</f>
        <v>9600</v>
      </c>
    </row>
    <row r="17" spans="1:11" x14ac:dyDescent="0.3">
      <c r="A17" s="2" t="s">
        <v>11</v>
      </c>
      <c r="B17" s="3">
        <v>45755</v>
      </c>
      <c r="C17" s="2" t="s">
        <v>23</v>
      </c>
      <c r="D17" s="2" t="s">
        <v>320</v>
      </c>
      <c r="E17" s="2" t="s">
        <v>456</v>
      </c>
      <c r="F17" s="2" t="s">
        <v>542</v>
      </c>
      <c r="G17" s="2" t="s">
        <v>550</v>
      </c>
      <c r="H17" s="2" t="s">
        <v>553</v>
      </c>
      <c r="I17" s="4">
        <v>20</v>
      </c>
      <c r="J17" s="5">
        <v>14500</v>
      </c>
      <c r="K17" s="5">
        <f>ROUND(IF(ISNUMBER(J17), I17*J17, I17),5)</f>
        <v>290000</v>
      </c>
    </row>
    <row r="18" spans="1:11" x14ac:dyDescent="0.3">
      <c r="A18" s="2" t="s">
        <v>11</v>
      </c>
      <c r="B18" s="3">
        <v>45756</v>
      </c>
      <c r="C18" s="2" t="s">
        <v>24</v>
      </c>
      <c r="D18" s="2" t="s">
        <v>318</v>
      </c>
      <c r="E18" s="2" t="s">
        <v>457</v>
      </c>
      <c r="F18" s="2" t="s">
        <v>542</v>
      </c>
      <c r="G18" s="2" t="s">
        <v>550</v>
      </c>
      <c r="H18" s="2" t="s">
        <v>554</v>
      </c>
      <c r="I18" s="4">
        <v>1</v>
      </c>
      <c r="J18" s="5">
        <v>23600</v>
      </c>
      <c r="K18" s="5">
        <f>ROUND(IF(ISNUMBER(J18), I18*J18, I18),5)</f>
        <v>23600</v>
      </c>
    </row>
    <row r="19" spans="1:11" x14ac:dyDescent="0.3">
      <c r="A19" s="2" t="s">
        <v>11</v>
      </c>
      <c r="B19" s="3">
        <v>45756</v>
      </c>
      <c r="C19" s="2" t="s">
        <v>25</v>
      </c>
      <c r="D19" s="2" t="s">
        <v>321</v>
      </c>
      <c r="E19" s="2" t="s">
        <v>458</v>
      </c>
      <c r="F19" s="2" t="s">
        <v>542</v>
      </c>
      <c r="G19" s="2" t="s">
        <v>551</v>
      </c>
      <c r="H19" s="2" t="s">
        <v>554</v>
      </c>
      <c r="I19" s="4">
        <v>1</v>
      </c>
      <c r="J19" s="5">
        <v>163400</v>
      </c>
      <c r="K19" s="5">
        <f>ROUND(IF(ISNUMBER(J19), I19*J19, I19),5)</f>
        <v>163400</v>
      </c>
    </row>
    <row r="20" spans="1:11" x14ac:dyDescent="0.3">
      <c r="A20" s="2" t="s">
        <v>11</v>
      </c>
      <c r="B20" s="3">
        <v>45756</v>
      </c>
      <c r="C20" s="2" t="s">
        <v>25</v>
      </c>
      <c r="D20" s="2" t="s">
        <v>321</v>
      </c>
      <c r="E20" s="2" t="s">
        <v>455</v>
      </c>
      <c r="F20" s="2" t="s">
        <v>542</v>
      </c>
      <c r="G20" s="2" t="s">
        <v>551</v>
      </c>
      <c r="H20" s="2" t="s">
        <v>554</v>
      </c>
      <c r="I20" s="4">
        <v>2</v>
      </c>
      <c r="J20" s="5"/>
      <c r="K20" s="5"/>
    </row>
    <row r="21" spans="1:11" x14ac:dyDescent="0.3">
      <c r="A21" s="2" t="s">
        <v>11</v>
      </c>
      <c r="B21" s="3">
        <v>45757</v>
      </c>
      <c r="C21" s="2" t="s">
        <v>26</v>
      </c>
      <c r="D21" s="2" t="s">
        <v>322</v>
      </c>
      <c r="E21" s="2" t="s">
        <v>459</v>
      </c>
      <c r="F21" s="2" t="s">
        <v>519</v>
      </c>
      <c r="G21" s="2" t="s">
        <v>548</v>
      </c>
      <c r="H21" s="2" t="s">
        <v>553</v>
      </c>
      <c r="I21" s="4">
        <v>1</v>
      </c>
      <c r="J21" s="5">
        <v>1080000</v>
      </c>
      <c r="K21" s="5">
        <f>ROUND(IF(ISNUMBER(J21), I21*J21, I21),5)</f>
        <v>1080000</v>
      </c>
    </row>
    <row r="22" spans="1:11" x14ac:dyDescent="0.3">
      <c r="A22" s="2" t="s">
        <v>11</v>
      </c>
      <c r="B22" s="3">
        <v>45757</v>
      </c>
      <c r="C22" s="2" t="s">
        <v>26</v>
      </c>
      <c r="D22" s="2" t="s">
        <v>322</v>
      </c>
      <c r="E22" s="2" t="s">
        <v>453</v>
      </c>
      <c r="F22" s="2" t="s">
        <v>540</v>
      </c>
      <c r="G22" s="2" t="s">
        <v>548</v>
      </c>
      <c r="H22" s="2" t="s">
        <v>553</v>
      </c>
      <c r="I22" s="4">
        <v>4</v>
      </c>
      <c r="J22" s="5"/>
      <c r="K22" s="5"/>
    </row>
    <row r="23" spans="1:11" x14ac:dyDescent="0.3">
      <c r="A23" s="2" t="s">
        <v>11</v>
      </c>
      <c r="B23" s="3">
        <v>45757</v>
      </c>
      <c r="C23" s="2" t="s">
        <v>26</v>
      </c>
      <c r="D23" s="2" t="s">
        <v>322</v>
      </c>
      <c r="E23" s="2" t="s">
        <v>460</v>
      </c>
      <c r="F23" s="2" t="s">
        <v>519</v>
      </c>
      <c r="G23" s="2" t="s">
        <v>548</v>
      </c>
      <c r="H23" s="2" t="s">
        <v>553</v>
      </c>
      <c r="I23" s="4">
        <v>1</v>
      </c>
      <c r="J23" s="5"/>
      <c r="K23" s="5"/>
    </row>
    <row r="24" spans="1:11" x14ac:dyDescent="0.3">
      <c r="A24" s="2" t="s">
        <v>11</v>
      </c>
      <c r="B24" s="3">
        <v>45757</v>
      </c>
      <c r="C24" s="2" t="s">
        <v>27</v>
      </c>
      <c r="D24" s="2" t="s">
        <v>323</v>
      </c>
      <c r="E24" s="2" t="s">
        <v>461</v>
      </c>
      <c r="F24" s="2" t="s">
        <v>519</v>
      </c>
      <c r="G24" s="2" t="s">
        <v>548</v>
      </c>
      <c r="H24" s="2" t="s">
        <v>553</v>
      </c>
      <c r="I24" s="4">
        <v>1</v>
      </c>
      <c r="J24" s="5">
        <v>212625</v>
      </c>
      <c r="K24" s="5">
        <f>ROUND(IF(ISNUMBER(J24), I24*J24, I24),5)</f>
        <v>212625</v>
      </c>
    </row>
    <row r="25" spans="1:11" x14ac:dyDescent="0.3">
      <c r="A25" s="2" t="s">
        <v>11</v>
      </c>
      <c r="B25" s="3">
        <v>45757</v>
      </c>
      <c r="C25" s="2" t="s">
        <v>27</v>
      </c>
      <c r="D25" s="2" t="s">
        <v>323</v>
      </c>
      <c r="E25" s="2" t="s">
        <v>442</v>
      </c>
      <c r="F25" s="2" t="s">
        <v>540</v>
      </c>
      <c r="G25" s="2" t="s">
        <v>548</v>
      </c>
      <c r="H25" s="2" t="s">
        <v>553</v>
      </c>
      <c r="I25" s="4">
        <v>3</v>
      </c>
      <c r="J25" s="5">
        <v>39082.5</v>
      </c>
      <c r="K25" s="5">
        <f>ROUND(IF(ISNUMBER(J25), I25*J25, I25),5)</f>
        <v>117247.5</v>
      </c>
    </row>
    <row r="26" spans="1:11" x14ac:dyDescent="0.3">
      <c r="A26" s="2" t="s">
        <v>11</v>
      </c>
      <c r="B26" s="3">
        <v>45757</v>
      </c>
      <c r="C26" s="2" t="s">
        <v>27</v>
      </c>
      <c r="D26" s="2" t="s">
        <v>323</v>
      </c>
      <c r="E26" s="2" t="s">
        <v>461</v>
      </c>
      <c r="F26" s="2" t="s">
        <v>519</v>
      </c>
      <c r="G26" s="2" t="s">
        <v>548</v>
      </c>
      <c r="H26" s="2" t="s">
        <v>553</v>
      </c>
      <c r="I26" s="4">
        <v>1</v>
      </c>
      <c r="J26" s="5">
        <v>212625</v>
      </c>
      <c r="K26" s="5">
        <f>ROUND(IF(ISNUMBER(J26), I26*J26, I26),5)</f>
        <v>212625</v>
      </c>
    </row>
    <row r="27" spans="1:11" x14ac:dyDescent="0.3">
      <c r="A27" s="2" t="s">
        <v>11</v>
      </c>
      <c r="B27" s="3">
        <v>45757</v>
      </c>
      <c r="C27" s="2" t="s">
        <v>27</v>
      </c>
      <c r="D27" s="2" t="s">
        <v>323</v>
      </c>
      <c r="E27" s="2" t="s">
        <v>442</v>
      </c>
      <c r="F27" s="2" t="s">
        <v>540</v>
      </c>
      <c r="G27" s="2" t="s">
        <v>548</v>
      </c>
      <c r="H27" s="2" t="s">
        <v>553</v>
      </c>
      <c r="I27" s="4">
        <v>3</v>
      </c>
      <c r="J27" s="5">
        <v>39082.5</v>
      </c>
      <c r="K27" s="5">
        <f>ROUND(IF(ISNUMBER(J27), I27*J27, I27),5)</f>
        <v>117247.5</v>
      </c>
    </row>
    <row r="28" spans="1:11" x14ac:dyDescent="0.3">
      <c r="A28" s="2" t="s">
        <v>11</v>
      </c>
      <c r="B28" s="3">
        <v>45758</v>
      </c>
      <c r="C28" s="2" t="s">
        <v>28</v>
      </c>
      <c r="D28" s="2" t="s">
        <v>324</v>
      </c>
      <c r="E28" s="2" t="s">
        <v>462</v>
      </c>
      <c r="F28" s="2" t="s">
        <v>519</v>
      </c>
      <c r="G28" s="2" t="s">
        <v>550</v>
      </c>
      <c r="H28" s="2" t="s">
        <v>553</v>
      </c>
      <c r="I28" s="4">
        <v>1</v>
      </c>
      <c r="J28" s="5">
        <v>122000</v>
      </c>
      <c r="K28" s="5">
        <f>ROUND(IF(ISNUMBER(J28), I28*J28, I28),5)</f>
        <v>122000</v>
      </c>
    </row>
    <row r="29" spans="1:11" x14ac:dyDescent="0.3">
      <c r="A29" s="2" t="s">
        <v>11</v>
      </c>
      <c r="B29" s="3">
        <v>45758</v>
      </c>
      <c r="C29" s="2" t="s">
        <v>29</v>
      </c>
      <c r="D29" s="2" t="s">
        <v>325</v>
      </c>
      <c r="E29" s="2" t="s">
        <v>463</v>
      </c>
      <c r="F29" s="2" t="s">
        <v>543</v>
      </c>
      <c r="G29" s="2" t="s">
        <v>548</v>
      </c>
      <c r="H29" s="2" t="s">
        <v>553</v>
      </c>
      <c r="I29" s="4">
        <v>12</v>
      </c>
      <c r="J29" s="5">
        <v>55937</v>
      </c>
      <c r="K29" s="5">
        <f>ROUND(IF(ISNUMBER(J29), I29*J29, I29),5)</f>
        <v>671244</v>
      </c>
    </row>
    <row r="30" spans="1:11" x14ac:dyDescent="0.3">
      <c r="A30" s="2" t="s">
        <v>11</v>
      </c>
      <c r="B30" s="3">
        <v>45758</v>
      </c>
      <c r="C30" s="2" t="s">
        <v>29</v>
      </c>
      <c r="D30" s="2" t="s">
        <v>325</v>
      </c>
      <c r="E30" s="2" t="s">
        <v>463</v>
      </c>
      <c r="F30" s="2" t="s">
        <v>543</v>
      </c>
      <c r="G30" s="2" t="s">
        <v>548</v>
      </c>
      <c r="H30" s="2" t="s">
        <v>553</v>
      </c>
      <c r="I30" s="4">
        <v>2</v>
      </c>
      <c r="J30" s="5">
        <v>102190</v>
      </c>
      <c r="K30" s="5">
        <f>ROUND(IF(ISNUMBER(J30), I30*J30, I30),5)</f>
        <v>204380</v>
      </c>
    </row>
    <row r="31" spans="1:11" x14ac:dyDescent="0.3">
      <c r="A31" s="2" t="s">
        <v>11</v>
      </c>
      <c r="B31" s="3">
        <v>45764</v>
      </c>
      <c r="C31" s="2" t="s">
        <v>30</v>
      </c>
      <c r="D31" s="2" t="s">
        <v>326</v>
      </c>
      <c r="E31" s="2" t="s">
        <v>463</v>
      </c>
      <c r="F31" s="2" t="s">
        <v>543</v>
      </c>
      <c r="G31" s="2" t="s">
        <v>551</v>
      </c>
      <c r="H31" s="2" t="s">
        <v>553</v>
      </c>
      <c r="I31" s="4">
        <v>5</v>
      </c>
      <c r="J31" s="5">
        <v>218000</v>
      </c>
      <c r="K31" s="5">
        <f>ROUND(IF(ISNUMBER(J31), I31*J31, I31),5)</f>
        <v>1090000</v>
      </c>
    </row>
    <row r="32" spans="1:11" x14ac:dyDescent="0.3">
      <c r="A32" s="2" t="s">
        <v>11</v>
      </c>
      <c r="B32" s="3">
        <v>45764</v>
      </c>
      <c r="C32" s="2" t="s">
        <v>31</v>
      </c>
      <c r="D32" s="2" t="s">
        <v>327</v>
      </c>
      <c r="E32" s="2" t="s">
        <v>464</v>
      </c>
      <c r="F32" s="2" t="s">
        <v>540</v>
      </c>
      <c r="G32" s="2" t="s">
        <v>549</v>
      </c>
      <c r="H32" s="2" t="s">
        <v>553</v>
      </c>
      <c r="I32" s="4">
        <v>2</v>
      </c>
      <c r="J32" s="5">
        <v>175000</v>
      </c>
      <c r="K32" s="5">
        <f>ROUND(IF(ISNUMBER(J32), I32*J32, I32),5)</f>
        <v>350000</v>
      </c>
    </row>
    <row r="33" spans="1:11" x14ac:dyDescent="0.3">
      <c r="A33" s="2" t="s">
        <v>11</v>
      </c>
      <c r="B33" s="3">
        <v>45765</v>
      </c>
      <c r="C33" s="2" t="s">
        <v>32</v>
      </c>
      <c r="D33" s="2" t="s">
        <v>322</v>
      </c>
      <c r="E33" s="2" t="s">
        <v>465</v>
      </c>
      <c r="F33" s="2" t="s">
        <v>544</v>
      </c>
      <c r="G33" s="2" t="s">
        <v>549</v>
      </c>
      <c r="H33" s="2" t="s">
        <v>553</v>
      </c>
      <c r="I33" s="4">
        <v>1</v>
      </c>
      <c r="J33" s="5">
        <v>583000</v>
      </c>
      <c r="K33" s="5">
        <f>ROUND(IF(ISNUMBER(J33), I33*J33, I33),5)</f>
        <v>583000</v>
      </c>
    </row>
    <row r="34" spans="1:11" x14ac:dyDescent="0.3">
      <c r="A34" s="2" t="s">
        <v>11</v>
      </c>
      <c r="B34" s="3">
        <v>45768</v>
      </c>
      <c r="C34" s="2" t="s">
        <v>33</v>
      </c>
      <c r="D34" s="2" t="s">
        <v>328</v>
      </c>
      <c r="E34" s="2" t="s">
        <v>454</v>
      </c>
      <c r="F34" s="2" t="s">
        <v>543</v>
      </c>
      <c r="G34" s="2" t="s">
        <v>552</v>
      </c>
      <c r="H34" s="2" t="s">
        <v>554</v>
      </c>
      <c r="I34" s="4">
        <v>1</v>
      </c>
      <c r="J34" s="5">
        <v>2000</v>
      </c>
      <c r="K34" s="5">
        <f>ROUND(IF(ISNUMBER(J34), I34*J34, I34),5)</f>
        <v>2000</v>
      </c>
    </row>
    <row r="35" spans="1:11" x14ac:dyDescent="0.3">
      <c r="A35" s="2" t="s">
        <v>11</v>
      </c>
      <c r="B35" s="3">
        <v>45768</v>
      </c>
      <c r="C35" s="2" t="s">
        <v>34</v>
      </c>
      <c r="D35" s="2" t="s">
        <v>328</v>
      </c>
      <c r="E35" s="2" t="s">
        <v>454</v>
      </c>
      <c r="F35" s="2" t="s">
        <v>543</v>
      </c>
      <c r="G35" s="2" t="s">
        <v>552</v>
      </c>
      <c r="H35" s="2" t="s">
        <v>554</v>
      </c>
      <c r="I35" s="4">
        <v>1</v>
      </c>
      <c r="J35" s="5">
        <v>2000</v>
      </c>
      <c r="K35" s="5">
        <f>ROUND(IF(ISNUMBER(J35), I35*J35, I35),5)</f>
        <v>2000</v>
      </c>
    </row>
    <row r="36" spans="1:11" x14ac:dyDescent="0.3">
      <c r="A36" s="2" t="s">
        <v>11</v>
      </c>
      <c r="B36" s="3">
        <v>45768</v>
      </c>
      <c r="C36" s="2" t="s">
        <v>35</v>
      </c>
      <c r="D36" s="2" t="s">
        <v>312</v>
      </c>
      <c r="E36" s="2" t="s">
        <v>461</v>
      </c>
      <c r="F36" s="2" t="s">
        <v>519</v>
      </c>
      <c r="G36" s="2" t="s">
        <v>551</v>
      </c>
      <c r="H36" s="2" t="s">
        <v>553</v>
      </c>
      <c r="I36" s="4">
        <v>1</v>
      </c>
      <c r="J36" s="5">
        <v>227000</v>
      </c>
      <c r="K36" s="5">
        <f>ROUND(IF(ISNUMBER(J36), I36*J36, I36),5)</f>
        <v>227000</v>
      </c>
    </row>
    <row r="37" spans="1:11" x14ac:dyDescent="0.3">
      <c r="A37" s="2" t="s">
        <v>11</v>
      </c>
      <c r="B37" s="3">
        <v>45768</v>
      </c>
      <c r="C37" s="2" t="s">
        <v>35</v>
      </c>
      <c r="D37" s="2" t="s">
        <v>312</v>
      </c>
      <c r="E37" s="2" t="s">
        <v>466</v>
      </c>
      <c r="F37" s="2" t="s">
        <v>540</v>
      </c>
      <c r="G37" s="2" t="s">
        <v>551</v>
      </c>
      <c r="H37" s="2" t="s">
        <v>553</v>
      </c>
      <c r="I37" s="4">
        <v>4</v>
      </c>
      <c r="J37" s="5">
        <v>68000</v>
      </c>
      <c r="K37" s="5">
        <f>ROUND(IF(ISNUMBER(J37), I37*J37, I37),5)</f>
        <v>272000</v>
      </c>
    </row>
    <row r="38" spans="1:11" x14ac:dyDescent="0.3">
      <c r="A38" s="2" t="s">
        <v>11</v>
      </c>
      <c r="B38" s="3">
        <v>45768</v>
      </c>
      <c r="C38" s="2" t="s">
        <v>36</v>
      </c>
      <c r="D38" s="2" t="s">
        <v>329</v>
      </c>
      <c r="E38" s="2" t="s">
        <v>467</v>
      </c>
      <c r="F38" s="2" t="s">
        <v>519</v>
      </c>
      <c r="G38" s="2" t="s">
        <v>548</v>
      </c>
      <c r="H38" s="2" t="s">
        <v>553</v>
      </c>
      <c r="I38" s="4">
        <v>1</v>
      </c>
      <c r="J38" s="5">
        <v>524000</v>
      </c>
      <c r="K38" s="5">
        <f>ROUND(IF(ISNUMBER(J38), I38*J38, I38),5)</f>
        <v>524000</v>
      </c>
    </row>
    <row r="39" spans="1:11" x14ac:dyDescent="0.3">
      <c r="A39" s="2" t="s">
        <v>11</v>
      </c>
      <c r="B39" s="3">
        <v>45768</v>
      </c>
      <c r="C39" s="2" t="s">
        <v>36</v>
      </c>
      <c r="D39" s="2" t="s">
        <v>329</v>
      </c>
      <c r="E39" s="2" t="s">
        <v>466</v>
      </c>
      <c r="F39" s="2" t="s">
        <v>540</v>
      </c>
      <c r="G39" s="2" t="s">
        <v>548</v>
      </c>
      <c r="H39" s="2" t="s">
        <v>553</v>
      </c>
      <c r="I39" s="4">
        <v>6</v>
      </c>
      <c r="J39" s="5">
        <v>69000</v>
      </c>
      <c r="K39" s="5">
        <f>ROUND(IF(ISNUMBER(J39), I39*J39, I39),5)</f>
        <v>414000</v>
      </c>
    </row>
    <row r="40" spans="1:11" x14ac:dyDescent="0.3">
      <c r="A40" s="2" t="s">
        <v>11</v>
      </c>
      <c r="B40" s="3">
        <v>45768</v>
      </c>
      <c r="C40" s="2" t="s">
        <v>36</v>
      </c>
      <c r="D40" s="2" t="s">
        <v>329</v>
      </c>
      <c r="E40" s="2" t="s">
        <v>468</v>
      </c>
      <c r="F40" s="2" t="s">
        <v>519</v>
      </c>
      <c r="G40" s="2" t="s">
        <v>548</v>
      </c>
      <c r="H40" s="2" t="s">
        <v>553</v>
      </c>
      <c r="I40" s="4">
        <v>1</v>
      </c>
      <c r="J40" s="5">
        <v>127000</v>
      </c>
      <c r="K40" s="5">
        <f>ROUND(IF(ISNUMBER(J40), I40*J40, I40),5)</f>
        <v>127000</v>
      </c>
    </row>
    <row r="41" spans="1:11" x14ac:dyDescent="0.3">
      <c r="A41" s="2" t="s">
        <v>11</v>
      </c>
      <c r="B41" s="3">
        <v>45768</v>
      </c>
      <c r="C41" s="2" t="s">
        <v>36</v>
      </c>
      <c r="D41" s="2" t="s">
        <v>329</v>
      </c>
      <c r="E41" s="2" t="s">
        <v>460</v>
      </c>
      <c r="F41" s="2" t="s">
        <v>519</v>
      </c>
      <c r="G41" s="2" t="s">
        <v>548</v>
      </c>
      <c r="H41" s="2" t="s">
        <v>553</v>
      </c>
      <c r="I41" s="4">
        <v>1</v>
      </c>
      <c r="J41" s="5"/>
      <c r="K41" s="5"/>
    </row>
    <row r="42" spans="1:11" x14ac:dyDescent="0.3">
      <c r="A42" s="2" t="s">
        <v>11</v>
      </c>
      <c r="B42" s="3">
        <v>45769</v>
      </c>
      <c r="C42" s="2" t="s">
        <v>37</v>
      </c>
      <c r="D42" s="2" t="s">
        <v>330</v>
      </c>
      <c r="E42" s="2" t="s">
        <v>469</v>
      </c>
      <c r="F42" s="2" t="s">
        <v>545</v>
      </c>
      <c r="G42" s="2" t="s">
        <v>549</v>
      </c>
      <c r="H42" s="2" t="s">
        <v>553</v>
      </c>
      <c r="I42" s="4">
        <v>1</v>
      </c>
      <c r="J42" s="5">
        <v>131000</v>
      </c>
      <c r="K42" s="5">
        <f>ROUND(IF(ISNUMBER(J42), I42*J42, I42),5)</f>
        <v>131000</v>
      </c>
    </row>
    <row r="43" spans="1:11" x14ac:dyDescent="0.3">
      <c r="A43" s="2" t="s">
        <v>11</v>
      </c>
      <c r="B43" s="3">
        <v>45770</v>
      </c>
      <c r="C43" s="2" t="s">
        <v>38</v>
      </c>
      <c r="D43" s="2" t="s">
        <v>331</v>
      </c>
      <c r="E43" s="2" t="s">
        <v>470</v>
      </c>
      <c r="F43" s="2" t="s">
        <v>519</v>
      </c>
      <c r="G43" s="2" t="s">
        <v>549</v>
      </c>
      <c r="H43" s="2" t="s">
        <v>553</v>
      </c>
      <c r="I43" s="4">
        <v>1</v>
      </c>
      <c r="J43" s="5">
        <v>292000</v>
      </c>
      <c r="K43" s="5">
        <f>ROUND(IF(ISNUMBER(J43), I43*J43, I43),5)</f>
        <v>292000</v>
      </c>
    </row>
    <row r="44" spans="1:11" x14ac:dyDescent="0.3">
      <c r="A44" s="2" t="s">
        <v>11</v>
      </c>
      <c r="B44" s="3">
        <v>45770</v>
      </c>
      <c r="C44" s="2" t="s">
        <v>38</v>
      </c>
      <c r="D44" s="2" t="s">
        <v>331</v>
      </c>
      <c r="E44" s="2" t="s">
        <v>451</v>
      </c>
      <c r="F44" s="2" t="s">
        <v>540</v>
      </c>
      <c r="G44" s="2" t="s">
        <v>549</v>
      </c>
      <c r="H44" s="2" t="s">
        <v>553</v>
      </c>
      <c r="I44" s="4">
        <v>5</v>
      </c>
      <c r="J44" s="5">
        <v>130000</v>
      </c>
      <c r="K44" s="5">
        <f>ROUND(IF(ISNUMBER(J44), I44*J44, I44),5)</f>
        <v>650000</v>
      </c>
    </row>
    <row r="45" spans="1:11" x14ac:dyDescent="0.3">
      <c r="A45" s="2" t="s">
        <v>11</v>
      </c>
      <c r="B45" s="3">
        <v>45770</v>
      </c>
      <c r="C45" s="2" t="s">
        <v>39</v>
      </c>
      <c r="D45" s="2" t="s">
        <v>332</v>
      </c>
      <c r="E45" s="2" t="s">
        <v>451</v>
      </c>
      <c r="F45" s="2" t="s">
        <v>540</v>
      </c>
      <c r="G45" s="2" t="s">
        <v>548</v>
      </c>
      <c r="H45" s="2" t="s">
        <v>553</v>
      </c>
      <c r="I45" s="4">
        <v>4</v>
      </c>
      <c r="J45" s="5">
        <v>124000</v>
      </c>
      <c r="K45" s="5">
        <f>ROUND(IF(ISNUMBER(J45), I45*J45, I45),5)</f>
        <v>496000</v>
      </c>
    </row>
    <row r="46" spans="1:11" x14ac:dyDescent="0.3">
      <c r="A46" s="2" t="s">
        <v>11</v>
      </c>
      <c r="B46" s="3">
        <v>45771</v>
      </c>
      <c r="C46" s="2" t="s">
        <v>40</v>
      </c>
      <c r="D46" s="2" t="s">
        <v>333</v>
      </c>
      <c r="E46" s="2" t="s">
        <v>465</v>
      </c>
      <c r="F46" s="2" t="s">
        <v>544</v>
      </c>
      <c r="G46" s="2" t="s">
        <v>548</v>
      </c>
      <c r="H46" s="2" t="s">
        <v>554</v>
      </c>
      <c r="I46" s="4">
        <v>1</v>
      </c>
      <c r="J46" s="5">
        <v>313880</v>
      </c>
      <c r="K46" s="5">
        <f>ROUND(IF(ISNUMBER(J46), I46*J46, I46),5)</f>
        <v>313880</v>
      </c>
    </row>
    <row r="47" spans="1:11" x14ac:dyDescent="0.3">
      <c r="A47" s="2" t="s">
        <v>11</v>
      </c>
      <c r="B47" s="3">
        <v>45771</v>
      </c>
      <c r="C47" s="2" t="s">
        <v>41</v>
      </c>
      <c r="D47" s="2" t="s">
        <v>334</v>
      </c>
      <c r="E47" s="2" t="s">
        <v>471</v>
      </c>
      <c r="F47" s="2" t="s">
        <v>544</v>
      </c>
      <c r="G47" s="2" t="s">
        <v>549</v>
      </c>
      <c r="H47" s="2" t="s">
        <v>553</v>
      </c>
      <c r="I47" s="4">
        <v>1</v>
      </c>
      <c r="J47" s="4">
        <v>3030</v>
      </c>
      <c r="K47" s="5">
        <f>ROUND(IF(ISNUMBER(J47), I47*J47, I47),5)</f>
        <v>3030</v>
      </c>
    </row>
    <row r="48" spans="1:11" x14ac:dyDescent="0.3">
      <c r="A48" s="2" t="s">
        <v>11</v>
      </c>
      <c r="B48" s="3">
        <v>45771</v>
      </c>
      <c r="C48" s="2" t="s">
        <v>42</v>
      </c>
      <c r="D48" s="2" t="s">
        <v>335</v>
      </c>
      <c r="E48" s="2" t="s">
        <v>472</v>
      </c>
      <c r="F48" s="2" t="s">
        <v>544</v>
      </c>
      <c r="G48" s="2" t="s">
        <v>549</v>
      </c>
      <c r="H48" s="2" t="s">
        <v>553</v>
      </c>
      <c r="I48" s="4">
        <v>1</v>
      </c>
      <c r="J48" s="5">
        <v>6732.66</v>
      </c>
      <c r="K48" s="5">
        <f>ROUND(IF(ISNUMBER(J48), I48*J48, I48),5)</f>
        <v>6732.66</v>
      </c>
    </row>
    <row r="49" spans="1:11" x14ac:dyDescent="0.3">
      <c r="A49" s="2" t="s">
        <v>11</v>
      </c>
      <c r="B49" s="3">
        <v>45771</v>
      </c>
      <c r="C49" s="2" t="s">
        <v>43</v>
      </c>
      <c r="D49" s="2" t="s">
        <v>335</v>
      </c>
      <c r="E49" s="2" t="s">
        <v>473</v>
      </c>
      <c r="F49" s="2" t="s">
        <v>544</v>
      </c>
      <c r="G49" s="2" t="s">
        <v>549</v>
      </c>
      <c r="H49" s="2" t="s">
        <v>553</v>
      </c>
      <c r="I49" s="4">
        <v>1</v>
      </c>
      <c r="J49" s="5">
        <v>18473.91</v>
      </c>
      <c r="K49" s="5">
        <f>ROUND(IF(ISNUMBER(J49), I49*J49, I49),5)</f>
        <v>18473.91</v>
      </c>
    </row>
    <row r="50" spans="1:11" x14ac:dyDescent="0.3">
      <c r="A50" s="2" t="s">
        <v>11</v>
      </c>
      <c r="B50" s="3">
        <v>45771</v>
      </c>
      <c r="C50" s="2" t="s">
        <v>44</v>
      </c>
      <c r="D50" s="2" t="s">
        <v>336</v>
      </c>
      <c r="E50" s="2" t="s">
        <v>473</v>
      </c>
      <c r="F50" s="2" t="s">
        <v>544</v>
      </c>
      <c r="G50" s="2" t="s">
        <v>549</v>
      </c>
      <c r="H50" s="2" t="s">
        <v>553</v>
      </c>
      <c r="I50" s="4">
        <v>1</v>
      </c>
      <c r="J50" s="5">
        <v>15150</v>
      </c>
      <c r="K50" s="5">
        <f>ROUND(IF(ISNUMBER(J50), I50*J50, I50),5)</f>
        <v>15150</v>
      </c>
    </row>
    <row r="51" spans="1:11" x14ac:dyDescent="0.3">
      <c r="A51" s="2" t="s">
        <v>11</v>
      </c>
      <c r="B51" s="3">
        <v>45772</v>
      </c>
      <c r="C51" s="2" t="s">
        <v>45</v>
      </c>
      <c r="D51" s="2" t="s">
        <v>337</v>
      </c>
      <c r="E51" s="2" t="s">
        <v>472</v>
      </c>
      <c r="F51" s="2" t="s">
        <v>544</v>
      </c>
      <c r="G51" s="2" t="s">
        <v>548</v>
      </c>
      <c r="H51" s="2" t="s">
        <v>554</v>
      </c>
      <c r="I51" s="4">
        <v>1</v>
      </c>
      <c r="J51" s="5">
        <v>10030</v>
      </c>
      <c r="K51" s="5">
        <f>ROUND(IF(ISNUMBER(J51), I51*J51, I51),5)</f>
        <v>10030</v>
      </c>
    </row>
    <row r="52" spans="1:11" x14ac:dyDescent="0.3">
      <c r="A52" s="2" t="s">
        <v>11</v>
      </c>
      <c r="B52" s="3">
        <v>45772</v>
      </c>
      <c r="C52" s="2" t="s">
        <v>46</v>
      </c>
      <c r="D52" s="2" t="s">
        <v>338</v>
      </c>
      <c r="E52" s="2" t="s">
        <v>474</v>
      </c>
      <c r="F52" s="2" t="s">
        <v>542</v>
      </c>
      <c r="G52" s="2" t="s">
        <v>550</v>
      </c>
      <c r="H52" s="2" t="s">
        <v>554</v>
      </c>
      <c r="I52" s="4">
        <v>1</v>
      </c>
      <c r="J52" s="5">
        <v>6100</v>
      </c>
      <c r="K52" s="5">
        <f>ROUND(IF(ISNUMBER(J52), I52*J52, I52),5)</f>
        <v>6100</v>
      </c>
    </row>
    <row r="53" spans="1:11" x14ac:dyDescent="0.3">
      <c r="A53" s="2" t="s">
        <v>11</v>
      </c>
      <c r="B53" s="3">
        <v>45772</v>
      </c>
      <c r="C53" s="2" t="s">
        <v>46</v>
      </c>
      <c r="D53" s="2" t="s">
        <v>338</v>
      </c>
      <c r="E53" s="2" t="s">
        <v>452</v>
      </c>
      <c r="F53" s="2" t="s">
        <v>542</v>
      </c>
      <c r="G53" s="2" t="s">
        <v>550</v>
      </c>
      <c r="H53" s="2" t="s">
        <v>554</v>
      </c>
      <c r="I53" s="4">
        <v>1</v>
      </c>
      <c r="J53" s="5">
        <v>10600</v>
      </c>
      <c r="K53" s="5">
        <f>ROUND(IF(ISNUMBER(J53), I53*J53, I53),5)</f>
        <v>10600</v>
      </c>
    </row>
    <row r="54" spans="1:11" x14ac:dyDescent="0.3">
      <c r="A54" s="2" t="s">
        <v>11</v>
      </c>
      <c r="B54" s="3">
        <v>45773</v>
      </c>
      <c r="C54" s="2" t="s">
        <v>47</v>
      </c>
      <c r="D54" s="2" t="s">
        <v>339</v>
      </c>
      <c r="E54" s="2" t="s">
        <v>475</v>
      </c>
      <c r="F54" s="2" t="s">
        <v>450</v>
      </c>
      <c r="G54" s="2" t="s">
        <v>551</v>
      </c>
      <c r="H54" s="2" t="s">
        <v>554</v>
      </c>
      <c r="I54" s="4">
        <v>1</v>
      </c>
      <c r="J54" s="5">
        <v>80000</v>
      </c>
      <c r="K54" s="5">
        <f>ROUND(IF(ISNUMBER(J54), I54*J54, I54),5)</f>
        <v>80000</v>
      </c>
    </row>
    <row r="55" spans="1:11" x14ac:dyDescent="0.3">
      <c r="A55" s="2" t="s">
        <v>11</v>
      </c>
      <c r="B55" s="3">
        <v>45773</v>
      </c>
      <c r="C55" s="2" t="s">
        <v>47</v>
      </c>
      <c r="D55" s="2" t="s">
        <v>339</v>
      </c>
      <c r="E55" s="2" t="s">
        <v>476</v>
      </c>
      <c r="F55" s="2" t="s">
        <v>546</v>
      </c>
      <c r="G55" s="2" t="s">
        <v>551</v>
      </c>
      <c r="H55" s="2" t="s">
        <v>554</v>
      </c>
      <c r="I55" s="4">
        <v>1</v>
      </c>
      <c r="J55" s="5">
        <v>20000</v>
      </c>
      <c r="K55" s="5">
        <f>ROUND(IF(ISNUMBER(J55), I55*J55, I55),5)</f>
        <v>20000</v>
      </c>
    </row>
    <row r="56" spans="1:11" x14ac:dyDescent="0.3">
      <c r="A56" s="2" t="s">
        <v>11</v>
      </c>
      <c r="B56" s="3">
        <v>45776</v>
      </c>
      <c r="C56" s="2" t="s">
        <v>48</v>
      </c>
      <c r="D56" s="2" t="s">
        <v>331</v>
      </c>
      <c r="E56" s="2" t="s">
        <v>477</v>
      </c>
      <c r="F56" s="2" t="s">
        <v>540</v>
      </c>
      <c r="G56" s="2" t="s">
        <v>549</v>
      </c>
      <c r="H56" s="2" t="s">
        <v>553</v>
      </c>
      <c r="I56" s="4">
        <v>2</v>
      </c>
      <c r="J56" s="5">
        <v>171000</v>
      </c>
      <c r="K56" s="5">
        <f>ROUND(IF(ISNUMBER(J56), I56*J56, I56),5)</f>
        <v>342000</v>
      </c>
    </row>
    <row r="57" spans="1:11" x14ac:dyDescent="0.3">
      <c r="A57" s="2" t="s">
        <v>11</v>
      </c>
      <c r="B57" s="3">
        <v>45776</v>
      </c>
      <c r="C57" s="2" t="s">
        <v>49</v>
      </c>
      <c r="D57" s="2" t="s">
        <v>340</v>
      </c>
      <c r="E57" s="2" t="s">
        <v>478</v>
      </c>
      <c r="F57" s="2" t="s">
        <v>519</v>
      </c>
      <c r="G57" s="2" t="s">
        <v>548</v>
      </c>
      <c r="H57" s="2" t="s">
        <v>553</v>
      </c>
      <c r="I57" s="4">
        <v>1</v>
      </c>
      <c r="J57" s="5">
        <v>172000</v>
      </c>
      <c r="K57" s="5">
        <f>ROUND(IF(ISNUMBER(J57), I57*J57, I57),5)</f>
        <v>172000</v>
      </c>
    </row>
    <row r="58" spans="1:11" x14ac:dyDescent="0.3">
      <c r="A58" s="2" t="s">
        <v>11</v>
      </c>
      <c r="B58" s="3">
        <v>45776</v>
      </c>
      <c r="C58" s="2" t="s">
        <v>49</v>
      </c>
      <c r="D58" s="2" t="s">
        <v>340</v>
      </c>
      <c r="E58" s="2" t="s">
        <v>442</v>
      </c>
      <c r="F58" s="2" t="s">
        <v>540</v>
      </c>
      <c r="G58" s="2" t="s">
        <v>548</v>
      </c>
      <c r="H58" s="2" t="s">
        <v>553</v>
      </c>
      <c r="I58" s="4">
        <v>4</v>
      </c>
      <c r="J58" s="5">
        <v>42000</v>
      </c>
      <c r="K58" s="5">
        <f>ROUND(IF(ISNUMBER(J58), I58*J58, I58),5)</f>
        <v>168000</v>
      </c>
    </row>
    <row r="59" spans="1:11" x14ac:dyDescent="0.3">
      <c r="A59" s="2" t="s">
        <v>11</v>
      </c>
      <c r="B59" s="3">
        <v>45777</v>
      </c>
      <c r="C59" s="2" t="s">
        <v>50</v>
      </c>
      <c r="D59" s="2" t="s">
        <v>341</v>
      </c>
      <c r="E59" s="2" t="s">
        <v>479</v>
      </c>
      <c r="F59" s="2" t="s">
        <v>542</v>
      </c>
      <c r="G59" s="2" t="s">
        <v>550</v>
      </c>
      <c r="H59" s="2" t="s">
        <v>554</v>
      </c>
      <c r="I59" s="4">
        <v>1</v>
      </c>
      <c r="J59" s="5">
        <v>19000</v>
      </c>
      <c r="K59" s="5">
        <f>ROUND(IF(ISNUMBER(J59), I59*J59, I59),5)</f>
        <v>19000</v>
      </c>
    </row>
    <row r="60" spans="1:11" x14ac:dyDescent="0.3">
      <c r="A60" s="2" t="s">
        <v>11</v>
      </c>
      <c r="B60" s="3">
        <v>45777</v>
      </c>
      <c r="C60" s="2" t="s">
        <v>50</v>
      </c>
      <c r="D60" s="2" t="s">
        <v>341</v>
      </c>
      <c r="E60" s="2" t="s">
        <v>480</v>
      </c>
      <c r="F60" s="2" t="s">
        <v>542</v>
      </c>
      <c r="G60" s="2" t="s">
        <v>550</v>
      </c>
      <c r="H60" s="2" t="s">
        <v>554</v>
      </c>
      <c r="I60" s="4">
        <v>1</v>
      </c>
      <c r="J60" s="5">
        <v>8100</v>
      </c>
      <c r="K60" s="5">
        <f>ROUND(IF(ISNUMBER(J60), I60*J60, I60),5)</f>
        <v>8100</v>
      </c>
    </row>
    <row r="61" spans="1:11" x14ac:dyDescent="0.3">
      <c r="A61" s="2" t="s">
        <v>11</v>
      </c>
      <c r="B61" s="3">
        <v>45777</v>
      </c>
      <c r="C61" s="2" t="s">
        <v>51</v>
      </c>
      <c r="D61" s="2" t="s">
        <v>331</v>
      </c>
      <c r="E61" s="2" t="s">
        <v>481</v>
      </c>
      <c r="F61" s="2" t="s">
        <v>519</v>
      </c>
      <c r="G61" s="2" t="s">
        <v>549</v>
      </c>
      <c r="H61" s="2" t="s">
        <v>553</v>
      </c>
      <c r="I61" s="4">
        <v>1</v>
      </c>
      <c r="J61" s="5">
        <v>952000</v>
      </c>
      <c r="K61" s="5">
        <f>ROUND(IF(ISNUMBER(J61), I61*J61, I61),5)</f>
        <v>952000</v>
      </c>
    </row>
    <row r="62" spans="1:11" x14ac:dyDescent="0.3">
      <c r="A62" s="2" t="s">
        <v>11</v>
      </c>
      <c r="B62" s="3">
        <v>45777</v>
      </c>
      <c r="C62" s="2" t="s">
        <v>51</v>
      </c>
      <c r="D62" s="2" t="s">
        <v>331</v>
      </c>
      <c r="E62" s="2" t="s">
        <v>482</v>
      </c>
      <c r="F62" s="2" t="s">
        <v>540</v>
      </c>
      <c r="G62" s="2" t="s">
        <v>549</v>
      </c>
      <c r="H62" s="2" t="s">
        <v>553</v>
      </c>
      <c r="I62" s="4">
        <v>4</v>
      </c>
      <c r="J62" s="5"/>
      <c r="K62" s="5">
        <v>0</v>
      </c>
    </row>
    <row r="63" spans="1:11" x14ac:dyDescent="0.3">
      <c r="A63" s="2" t="s">
        <v>11</v>
      </c>
      <c r="B63" s="3">
        <v>45777</v>
      </c>
      <c r="C63" s="2" t="s">
        <v>51</v>
      </c>
      <c r="D63" s="2" t="s">
        <v>331</v>
      </c>
      <c r="E63" s="2" t="s">
        <v>481</v>
      </c>
      <c r="F63" s="2" t="s">
        <v>519</v>
      </c>
      <c r="G63" s="2" t="s">
        <v>549</v>
      </c>
      <c r="H63" s="2" t="s">
        <v>553</v>
      </c>
      <c r="I63" s="4">
        <v>1</v>
      </c>
      <c r="J63" s="5">
        <v>952000</v>
      </c>
      <c r="K63" s="5">
        <f>ROUND(IF(ISNUMBER(J63), I63*J63, I63),5)</f>
        <v>952000</v>
      </c>
    </row>
    <row r="64" spans="1:11" x14ac:dyDescent="0.3">
      <c r="A64" s="2" t="s">
        <v>11</v>
      </c>
      <c r="B64" s="3">
        <v>45777</v>
      </c>
      <c r="C64" s="2" t="s">
        <v>51</v>
      </c>
      <c r="D64" s="2" t="s">
        <v>331</v>
      </c>
      <c r="E64" s="2" t="s">
        <v>482</v>
      </c>
      <c r="F64" s="2" t="s">
        <v>540</v>
      </c>
      <c r="G64" s="2" t="s">
        <v>549</v>
      </c>
      <c r="H64" s="2" t="s">
        <v>553</v>
      </c>
      <c r="I64" s="4">
        <v>4</v>
      </c>
      <c r="J64" s="5"/>
      <c r="K64" s="5">
        <v>0</v>
      </c>
    </row>
    <row r="65" spans="1:11" x14ac:dyDescent="0.3">
      <c r="A65" s="2" t="s">
        <v>11</v>
      </c>
      <c r="B65" s="3">
        <v>45777</v>
      </c>
      <c r="C65" s="2" t="s">
        <v>51</v>
      </c>
      <c r="D65" s="2" t="s">
        <v>331</v>
      </c>
      <c r="E65" s="2" t="s">
        <v>483</v>
      </c>
      <c r="F65" s="2" t="s">
        <v>519</v>
      </c>
      <c r="G65" s="2" t="s">
        <v>549</v>
      </c>
      <c r="H65" s="2" t="s">
        <v>553</v>
      </c>
      <c r="I65" s="4">
        <v>2</v>
      </c>
      <c r="J65" s="5"/>
      <c r="K65" s="5"/>
    </row>
    <row r="66" spans="1:11" x14ac:dyDescent="0.3">
      <c r="A66" s="2" t="s">
        <v>11</v>
      </c>
      <c r="B66" s="3">
        <v>45779</v>
      </c>
      <c r="C66" s="2" t="s">
        <v>52</v>
      </c>
      <c r="D66" s="2" t="s">
        <v>342</v>
      </c>
      <c r="E66" s="2" t="s">
        <v>481</v>
      </c>
      <c r="F66" s="2" t="s">
        <v>519</v>
      </c>
      <c r="G66" s="2" t="s">
        <v>548</v>
      </c>
      <c r="H66" s="2" t="s">
        <v>553</v>
      </c>
      <c r="I66" s="4">
        <v>1</v>
      </c>
      <c r="J66" s="5">
        <v>690000</v>
      </c>
      <c r="K66" s="5">
        <f>ROUND(IF(ISNUMBER(J66), I66*J66, I66),5)</f>
        <v>690000</v>
      </c>
    </row>
    <row r="67" spans="1:11" x14ac:dyDescent="0.3">
      <c r="A67" s="2" t="s">
        <v>11</v>
      </c>
      <c r="B67" s="3">
        <v>45779</v>
      </c>
      <c r="C67" s="2" t="s">
        <v>52</v>
      </c>
      <c r="D67" s="2" t="s">
        <v>342</v>
      </c>
      <c r="E67" s="2" t="s">
        <v>484</v>
      </c>
      <c r="F67" s="2" t="s">
        <v>540</v>
      </c>
      <c r="G67" s="2" t="s">
        <v>548</v>
      </c>
      <c r="H67" s="2" t="s">
        <v>553</v>
      </c>
      <c r="I67" s="4">
        <v>4</v>
      </c>
      <c r="J67" s="5">
        <v>211000</v>
      </c>
      <c r="K67" s="5">
        <f>ROUND(IF(ISNUMBER(J67), I67*J67, I67),5)</f>
        <v>844000</v>
      </c>
    </row>
    <row r="68" spans="1:11" x14ac:dyDescent="0.3">
      <c r="A68" s="2" t="s">
        <v>11</v>
      </c>
      <c r="B68" s="3">
        <v>45779</v>
      </c>
      <c r="C68" s="2" t="s">
        <v>52</v>
      </c>
      <c r="D68" s="2" t="s">
        <v>342</v>
      </c>
      <c r="E68" s="2" t="s">
        <v>481</v>
      </c>
      <c r="F68" s="2" t="s">
        <v>519</v>
      </c>
      <c r="G68" s="2" t="s">
        <v>548</v>
      </c>
      <c r="H68" s="2" t="s">
        <v>553</v>
      </c>
      <c r="I68" s="4">
        <v>1</v>
      </c>
      <c r="J68" s="5">
        <v>690000</v>
      </c>
      <c r="K68" s="5">
        <f>ROUND(IF(ISNUMBER(J68), I68*J68, I68),5)</f>
        <v>690000</v>
      </c>
    </row>
    <row r="69" spans="1:11" x14ac:dyDescent="0.3">
      <c r="A69" s="2" t="s">
        <v>11</v>
      </c>
      <c r="B69" s="3">
        <v>45779</v>
      </c>
      <c r="C69" s="2" t="s">
        <v>52</v>
      </c>
      <c r="D69" s="2" t="s">
        <v>342</v>
      </c>
      <c r="E69" s="2" t="s">
        <v>484</v>
      </c>
      <c r="F69" s="2" t="s">
        <v>540</v>
      </c>
      <c r="G69" s="2" t="s">
        <v>548</v>
      </c>
      <c r="H69" s="2" t="s">
        <v>553</v>
      </c>
      <c r="I69" s="4">
        <v>4</v>
      </c>
      <c r="J69" s="5">
        <v>211000</v>
      </c>
      <c r="K69" s="5">
        <f>ROUND(IF(ISNUMBER(J69), I69*J69, I69),5)</f>
        <v>844000</v>
      </c>
    </row>
    <row r="70" spans="1:11" x14ac:dyDescent="0.3">
      <c r="A70" s="2" t="s">
        <v>11</v>
      </c>
      <c r="B70" s="3">
        <v>45779</v>
      </c>
      <c r="C70" s="2" t="s">
        <v>52</v>
      </c>
      <c r="D70" s="2" t="s">
        <v>342</v>
      </c>
      <c r="E70" s="2" t="s">
        <v>483</v>
      </c>
      <c r="F70" s="2" t="s">
        <v>519</v>
      </c>
      <c r="G70" s="2" t="s">
        <v>548</v>
      </c>
      <c r="H70" s="2" t="s">
        <v>553</v>
      </c>
      <c r="I70" s="4">
        <v>2</v>
      </c>
      <c r="J70" s="5"/>
      <c r="K70" s="5"/>
    </row>
    <row r="71" spans="1:11" x14ac:dyDescent="0.3">
      <c r="A71" s="2" t="s">
        <v>11</v>
      </c>
      <c r="B71" s="3">
        <v>45779</v>
      </c>
      <c r="C71" s="2" t="s">
        <v>53</v>
      </c>
      <c r="D71" s="2" t="s">
        <v>329</v>
      </c>
      <c r="E71" s="2" t="s">
        <v>467</v>
      </c>
      <c r="F71" s="2" t="s">
        <v>519</v>
      </c>
      <c r="G71" s="2" t="s">
        <v>548</v>
      </c>
      <c r="H71" s="2" t="s">
        <v>553</v>
      </c>
      <c r="I71" s="4">
        <v>1</v>
      </c>
      <c r="J71" s="5">
        <v>502200</v>
      </c>
      <c r="K71" s="5">
        <f>ROUND(IF(ISNUMBER(J71), I71*J71, I71),5)</f>
        <v>502200</v>
      </c>
    </row>
    <row r="72" spans="1:11" x14ac:dyDescent="0.3">
      <c r="A72" s="2" t="s">
        <v>11</v>
      </c>
      <c r="B72" s="3">
        <v>45779</v>
      </c>
      <c r="C72" s="2" t="s">
        <v>53</v>
      </c>
      <c r="D72" s="2" t="s">
        <v>329</v>
      </c>
      <c r="E72" s="2" t="s">
        <v>485</v>
      </c>
      <c r="F72" s="2" t="s">
        <v>540</v>
      </c>
      <c r="G72" s="2" t="s">
        <v>548</v>
      </c>
      <c r="H72" s="2" t="s">
        <v>553</v>
      </c>
      <c r="I72" s="4">
        <v>7</v>
      </c>
      <c r="J72" s="5">
        <v>114210</v>
      </c>
      <c r="K72" s="5">
        <f>ROUND(IF(ISNUMBER(J72), I72*J72, I72),5)</f>
        <v>799470</v>
      </c>
    </row>
    <row r="73" spans="1:11" x14ac:dyDescent="0.3">
      <c r="A73" s="2" t="s">
        <v>11</v>
      </c>
      <c r="B73" s="3">
        <v>45779</v>
      </c>
      <c r="C73" s="2" t="s">
        <v>53</v>
      </c>
      <c r="D73" s="2" t="s">
        <v>329</v>
      </c>
      <c r="E73" s="2" t="s">
        <v>483</v>
      </c>
      <c r="F73" s="2" t="s">
        <v>519</v>
      </c>
      <c r="G73" s="2" t="s">
        <v>548</v>
      </c>
      <c r="H73" s="2" t="s">
        <v>553</v>
      </c>
      <c r="I73" s="4">
        <v>1</v>
      </c>
      <c r="J73" s="5"/>
      <c r="K73" s="5"/>
    </row>
    <row r="74" spans="1:11" x14ac:dyDescent="0.3">
      <c r="A74" s="2" t="s">
        <v>11</v>
      </c>
      <c r="B74" s="3">
        <v>45779</v>
      </c>
      <c r="C74" s="2" t="s">
        <v>54</v>
      </c>
      <c r="D74" s="2" t="s">
        <v>343</v>
      </c>
      <c r="E74" s="2" t="s">
        <v>486</v>
      </c>
      <c r="F74" s="2" t="s">
        <v>542</v>
      </c>
      <c r="G74" s="2" t="s">
        <v>551</v>
      </c>
      <c r="H74" s="2" t="s">
        <v>553</v>
      </c>
      <c r="I74" s="4">
        <v>2</v>
      </c>
      <c r="J74" s="5">
        <v>62000</v>
      </c>
      <c r="K74" s="5">
        <f>ROUND(IF(ISNUMBER(J74), I74*J74, I74),5)</f>
        <v>124000</v>
      </c>
    </row>
    <row r="75" spans="1:11" x14ac:dyDescent="0.3">
      <c r="A75" s="2" t="s">
        <v>11</v>
      </c>
      <c r="B75" s="3">
        <v>45779</v>
      </c>
      <c r="C75" s="2" t="s">
        <v>55</v>
      </c>
      <c r="D75" s="2" t="s">
        <v>344</v>
      </c>
      <c r="E75" s="2" t="s">
        <v>487</v>
      </c>
      <c r="F75" s="2" t="s">
        <v>542</v>
      </c>
      <c r="G75" s="2" t="s">
        <v>550</v>
      </c>
      <c r="H75" s="2" t="s">
        <v>554</v>
      </c>
      <c r="I75" s="4">
        <v>1</v>
      </c>
      <c r="J75" s="5">
        <v>23540</v>
      </c>
      <c r="K75" s="5">
        <f>ROUND(IF(ISNUMBER(J75), I75*J75, I75),5)</f>
        <v>23540</v>
      </c>
    </row>
    <row r="76" spans="1:11" x14ac:dyDescent="0.3">
      <c r="A76" s="2" t="s">
        <v>11</v>
      </c>
      <c r="B76" s="3">
        <v>45784</v>
      </c>
      <c r="C76" s="2" t="s">
        <v>56</v>
      </c>
      <c r="D76" s="2" t="s">
        <v>340</v>
      </c>
      <c r="E76" s="2" t="s">
        <v>463</v>
      </c>
      <c r="F76" s="2" t="s">
        <v>543</v>
      </c>
      <c r="G76" s="2" t="s">
        <v>548</v>
      </c>
      <c r="H76" s="2" t="s">
        <v>553</v>
      </c>
      <c r="I76" s="4">
        <v>12</v>
      </c>
      <c r="J76" s="5">
        <v>12800</v>
      </c>
      <c r="K76" s="5">
        <f>ROUND(IF(ISNUMBER(J76), I76*J76, I76),5)</f>
        <v>153600</v>
      </c>
    </row>
    <row r="77" spans="1:11" x14ac:dyDescent="0.3">
      <c r="A77" s="2" t="s">
        <v>11</v>
      </c>
      <c r="B77" s="3">
        <v>45785</v>
      </c>
      <c r="C77" s="2" t="s">
        <v>57</v>
      </c>
      <c r="D77" s="2" t="s">
        <v>313</v>
      </c>
      <c r="E77" s="2" t="s">
        <v>480</v>
      </c>
      <c r="F77" s="2" t="s">
        <v>542</v>
      </c>
      <c r="G77" s="2" t="s">
        <v>550</v>
      </c>
      <c r="H77" s="2" t="s">
        <v>553</v>
      </c>
      <c r="I77" s="4">
        <v>3</v>
      </c>
      <c r="J77" s="5">
        <v>6900</v>
      </c>
      <c r="K77" s="5">
        <f>ROUND(IF(ISNUMBER(J77), I77*J77, I77),5)</f>
        <v>20700</v>
      </c>
    </row>
    <row r="78" spans="1:11" x14ac:dyDescent="0.3">
      <c r="A78" s="2" t="s">
        <v>11</v>
      </c>
      <c r="B78" s="3">
        <v>45786</v>
      </c>
      <c r="C78" s="2" t="s">
        <v>58</v>
      </c>
      <c r="D78" s="2" t="s">
        <v>338</v>
      </c>
      <c r="E78" s="2" t="s">
        <v>452</v>
      </c>
      <c r="F78" s="2" t="s">
        <v>542</v>
      </c>
      <c r="G78" s="2" t="s">
        <v>550</v>
      </c>
      <c r="H78" s="2" t="s">
        <v>554</v>
      </c>
      <c r="I78" s="4">
        <v>3</v>
      </c>
      <c r="J78" s="5">
        <v>10600</v>
      </c>
      <c r="K78" s="5">
        <f>ROUND(IF(ISNUMBER(J78), I78*J78, I78),5)</f>
        <v>31800</v>
      </c>
    </row>
    <row r="79" spans="1:11" x14ac:dyDescent="0.3">
      <c r="A79" s="2" t="s">
        <v>11</v>
      </c>
      <c r="B79" s="3">
        <v>45786</v>
      </c>
      <c r="C79" s="2" t="s">
        <v>59</v>
      </c>
      <c r="D79" s="2" t="s">
        <v>313</v>
      </c>
      <c r="E79" s="2" t="s">
        <v>488</v>
      </c>
      <c r="F79" s="2" t="s">
        <v>519</v>
      </c>
      <c r="G79" s="2" t="s">
        <v>549</v>
      </c>
      <c r="H79" s="2" t="s">
        <v>553</v>
      </c>
      <c r="I79" s="4">
        <v>1</v>
      </c>
      <c r="J79" s="5">
        <v>94000</v>
      </c>
      <c r="K79" s="5">
        <f>ROUND(IF(ISNUMBER(J79), I79*J79, I79),5)</f>
        <v>94000</v>
      </c>
    </row>
    <row r="80" spans="1:11" x14ac:dyDescent="0.3">
      <c r="A80" s="2" t="s">
        <v>11</v>
      </c>
      <c r="B80" s="3">
        <v>45786</v>
      </c>
      <c r="C80" s="2" t="s">
        <v>59</v>
      </c>
      <c r="D80" s="2" t="s">
        <v>313</v>
      </c>
      <c r="E80" s="2" t="s">
        <v>444</v>
      </c>
      <c r="F80" s="2" t="s">
        <v>519</v>
      </c>
      <c r="G80" s="2" t="s">
        <v>549</v>
      </c>
      <c r="H80" s="2" t="s">
        <v>553</v>
      </c>
      <c r="I80" s="4">
        <v>1</v>
      </c>
      <c r="J80" s="5">
        <v>130000</v>
      </c>
      <c r="K80" s="5">
        <f>ROUND(IF(ISNUMBER(J80), I80*J80, I80),5)</f>
        <v>130000</v>
      </c>
    </row>
    <row r="81" spans="1:11" x14ac:dyDescent="0.3">
      <c r="A81" s="2" t="s">
        <v>11</v>
      </c>
      <c r="B81" s="3">
        <v>45786</v>
      </c>
      <c r="C81" s="2" t="s">
        <v>60</v>
      </c>
      <c r="D81" s="2" t="s">
        <v>345</v>
      </c>
      <c r="E81" s="2" t="s">
        <v>488</v>
      </c>
      <c r="F81" s="2" t="s">
        <v>519</v>
      </c>
      <c r="G81" s="2" t="s">
        <v>551</v>
      </c>
      <c r="H81" s="2" t="s">
        <v>553</v>
      </c>
      <c r="I81" s="4">
        <v>1</v>
      </c>
      <c r="J81" s="5">
        <v>97000</v>
      </c>
      <c r="K81" s="5">
        <f>ROUND(IF(ISNUMBER(J81), I81*J81, I81),5)</f>
        <v>97000</v>
      </c>
    </row>
    <row r="82" spans="1:11" x14ac:dyDescent="0.3">
      <c r="A82" s="2" t="s">
        <v>11</v>
      </c>
      <c r="B82" s="3">
        <v>45786</v>
      </c>
      <c r="C82" s="2" t="s">
        <v>60</v>
      </c>
      <c r="D82" s="2" t="s">
        <v>345</v>
      </c>
      <c r="E82" s="2" t="s">
        <v>447</v>
      </c>
      <c r="F82" s="2" t="s">
        <v>540</v>
      </c>
      <c r="G82" s="2" t="s">
        <v>551</v>
      </c>
      <c r="H82" s="2" t="s">
        <v>553</v>
      </c>
      <c r="I82" s="4">
        <v>2</v>
      </c>
      <c r="J82" s="5">
        <v>37000</v>
      </c>
      <c r="K82" s="5">
        <f>ROUND(IF(ISNUMBER(J82), I82*J82, I82),5)</f>
        <v>74000</v>
      </c>
    </row>
    <row r="83" spans="1:11" x14ac:dyDescent="0.3">
      <c r="A83" s="2" t="s">
        <v>11</v>
      </c>
      <c r="B83" s="3">
        <v>45786</v>
      </c>
      <c r="C83" s="2" t="s">
        <v>61</v>
      </c>
      <c r="D83" s="2" t="s">
        <v>346</v>
      </c>
      <c r="E83" s="2" t="s">
        <v>457</v>
      </c>
      <c r="F83" s="2" t="s">
        <v>542</v>
      </c>
      <c r="G83" s="2" t="s">
        <v>551</v>
      </c>
      <c r="H83" s="2" t="s">
        <v>554</v>
      </c>
      <c r="I83" s="4">
        <v>1</v>
      </c>
      <c r="J83" s="5">
        <v>26500</v>
      </c>
      <c r="K83" s="5">
        <f>ROUND(IF(ISNUMBER(J83), I83*J83, I83),5)</f>
        <v>26500</v>
      </c>
    </row>
    <row r="84" spans="1:11" x14ac:dyDescent="0.3">
      <c r="A84" s="2" t="s">
        <v>11</v>
      </c>
      <c r="B84" s="3">
        <v>45791</v>
      </c>
      <c r="C84" s="2" t="s">
        <v>62</v>
      </c>
      <c r="D84" s="2" t="s">
        <v>347</v>
      </c>
      <c r="E84" s="2" t="s">
        <v>459</v>
      </c>
      <c r="F84" s="2" t="s">
        <v>519</v>
      </c>
      <c r="G84" s="2" t="s">
        <v>551</v>
      </c>
      <c r="H84" s="2" t="s">
        <v>554</v>
      </c>
      <c r="I84" s="4">
        <v>1</v>
      </c>
      <c r="J84" s="5">
        <v>709180</v>
      </c>
      <c r="K84" s="5">
        <f>ROUND(IF(ISNUMBER(J84), I84*J84, I84),5)</f>
        <v>709180</v>
      </c>
    </row>
    <row r="85" spans="1:11" x14ac:dyDescent="0.3">
      <c r="A85" s="2" t="s">
        <v>11</v>
      </c>
      <c r="B85" s="3">
        <v>45791</v>
      </c>
      <c r="C85" s="2" t="s">
        <v>62</v>
      </c>
      <c r="D85" s="2" t="s">
        <v>347</v>
      </c>
      <c r="E85" s="2" t="s">
        <v>442</v>
      </c>
      <c r="F85" s="2" t="s">
        <v>540</v>
      </c>
      <c r="G85" s="2" t="s">
        <v>551</v>
      </c>
      <c r="H85" s="2" t="s">
        <v>554</v>
      </c>
      <c r="I85" s="4">
        <v>4</v>
      </c>
      <c r="J85" s="5">
        <v>53100</v>
      </c>
      <c r="K85" s="5">
        <f>ROUND(IF(ISNUMBER(J85), I85*J85, I85),5)</f>
        <v>212400</v>
      </c>
    </row>
    <row r="86" spans="1:11" x14ac:dyDescent="0.3">
      <c r="A86" s="2" t="s">
        <v>11</v>
      </c>
      <c r="B86" s="3">
        <v>45791</v>
      </c>
      <c r="C86" s="2" t="s">
        <v>62</v>
      </c>
      <c r="D86" s="2" t="s">
        <v>347</v>
      </c>
      <c r="E86" s="2" t="s">
        <v>483</v>
      </c>
      <c r="F86" s="2" t="s">
        <v>519</v>
      </c>
      <c r="G86" s="2" t="s">
        <v>551</v>
      </c>
      <c r="H86" s="2" t="s">
        <v>554</v>
      </c>
      <c r="I86" s="4">
        <v>1</v>
      </c>
      <c r="J86" s="5"/>
      <c r="K86" s="5"/>
    </row>
    <row r="87" spans="1:11" x14ac:dyDescent="0.3">
      <c r="A87" s="2" t="s">
        <v>11</v>
      </c>
      <c r="B87" s="3">
        <v>45792</v>
      </c>
      <c r="C87" s="2" t="s">
        <v>63</v>
      </c>
      <c r="D87" s="2" t="s">
        <v>313</v>
      </c>
      <c r="E87" s="2" t="s">
        <v>456</v>
      </c>
      <c r="F87" s="2" t="s">
        <v>542</v>
      </c>
      <c r="G87" s="2" t="s">
        <v>550</v>
      </c>
      <c r="H87" s="2" t="s">
        <v>553</v>
      </c>
      <c r="I87" s="4">
        <v>2</v>
      </c>
      <c r="J87" s="5">
        <v>13500</v>
      </c>
      <c r="K87" s="5">
        <f>ROUND(IF(ISNUMBER(J87), I87*J87, I87),5)</f>
        <v>27000</v>
      </c>
    </row>
    <row r="88" spans="1:11" x14ac:dyDescent="0.3">
      <c r="A88" s="2" t="s">
        <v>11</v>
      </c>
      <c r="B88" s="3">
        <v>45792</v>
      </c>
      <c r="C88" s="2" t="s">
        <v>63</v>
      </c>
      <c r="D88" s="2" t="s">
        <v>313</v>
      </c>
      <c r="E88" s="2" t="s">
        <v>489</v>
      </c>
      <c r="F88" s="2" t="s">
        <v>542</v>
      </c>
      <c r="G88" s="2" t="s">
        <v>550</v>
      </c>
      <c r="H88" s="2" t="s">
        <v>553</v>
      </c>
      <c r="I88" s="4">
        <v>1</v>
      </c>
      <c r="J88" s="5">
        <v>24200</v>
      </c>
      <c r="K88" s="5">
        <f>ROUND(IF(ISNUMBER(J88), I88*J88, I88),5)</f>
        <v>24200</v>
      </c>
    </row>
    <row r="89" spans="1:11" x14ac:dyDescent="0.3">
      <c r="A89" s="2" t="s">
        <v>11</v>
      </c>
      <c r="B89" s="3">
        <v>45792</v>
      </c>
      <c r="C89" s="2" t="s">
        <v>63</v>
      </c>
      <c r="D89" s="2" t="s">
        <v>313</v>
      </c>
      <c r="E89" s="2" t="s">
        <v>490</v>
      </c>
      <c r="F89" s="2" t="s">
        <v>542</v>
      </c>
      <c r="G89" s="2" t="s">
        <v>550</v>
      </c>
      <c r="H89" s="2" t="s">
        <v>553</v>
      </c>
      <c r="I89" s="4">
        <v>5</v>
      </c>
      <c r="J89" s="5">
        <v>5000</v>
      </c>
      <c r="K89" s="5">
        <f>ROUND(IF(ISNUMBER(J89), I89*J89, I89),5)</f>
        <v>25000</v>
      </c>
    </row>
    <row r="90" spans="1:11" x14ac:dyDescent="0.3">
      <c r="A90" s="2" t="s">
        <v>11</v>
      </c>
      <c r="B90" s="3">
        <v>45792</v>
      </c>
      <c r="C90" s="2" t="s">
        <v>63</v>
      </c>
      <c r="D90" s="2" t="s">
        <v>313</v>
      </c>
      <c r="E90" s="2" t="s">
        <v>491</v>
      </c>
      <c r="F90" s="2" t="s">
        <v>542</v>
      </c>
      <c r="G90" s="2" t="s">
        <v>550</v>
      </c>
      <c r="H90" s="2" t="s">
        <v>553</v>
      </c>
      <c r="I90" s="4">
        <v>1</v>
      </c>
      <c r="J90" s="5">
        <v>40000</v>
      </c>
      <c r="K90" s="5">
        <f>ROUND(IF(ISNUMBER(J90), I90*J90, I90),5)</f>
        <v>40000</v>
      </c>
    </row>
    <row r="91" spans="1:11" x14ac:dyDescent="0.3">
      <c r="A91" s="2" t="s">
        <v>11</v>
      </c>
      <c r="B91" s="3">
        <v>45793</v>
      </c>
      <c r="C91" s="2" t="s">
        <v>64</v>
      </c>
      <c r="D91" s="2" t="s">
        <v>348</v>
      </c>
      <c r="E91" s="2" t="s">
        <v>491</v>
      </c>
      <c r="F91" s="2" t="s">
        <v>542</v>
      </c>
      <c r="G91" s="2" t="s">
        <v>551</v>
      </c>
      <c r="H91" s="2" t="s">
        <v>553</v>
      </c>
      <c r="I91" s="4">
        <v>3</v>
      </c>
      <c r="J91" s="5">
        <v>39000</v>
      </c>
      <c r="K91" s="5">
        <f>ROUND(IF(ISNUMBER(J91), I91*J91, I91),5)</f>
        <v>117000</v>
      </c>
    </row>
    <row r="92" spans="1:11" x14ac:dyDescent="0.3">
      <c r="A92" s="2" t="s">
        <v>11</v>
      </c>
      <c r="B92" s="3">
        <v>45793</v>
      </c>
      <c r="C92" s="2" t="s">
        <v>65</v>
      </c>
      <c r="D92" s="2" t="s">
        <v>332</v>
      </c>
      <c r="E92" s="2" t="s">
        <v>453</v>
      </c>
      <c r="F92" s="2" t="s">
        <v>540</v>
      </c>
      <c r="G92" s="2" t="s">
        <v>548</v>
      </c>
      <c r="H92" s="2" t="s">
        <v>553</v>
      </c>
      <c r="I92" s="4">
        <v>1</v>
      </c>
      <c r="J92" s="5">
        <v>82000</v>
      </c>
      <c r="K92" s="5">
        <f>ROUND(IF(ISNUMBER(J92), I92*J92, I92),5)</f>
        <v>82000</v>
      </c>
    </row>
    <row r="93" spans="1:11" x14ac:dyDescent="0.3">
      <c r="A93" s="2" t="s">
        <v>11</v>
      </c>
      <c r="B93" s="3">
        <v>45793</v>
      </c>
      <c r="C93" s="2" t="s">
        <v>66</v>
      </c>
      <c r="D93" s="2" t="s">
        <v>349</v>
      </c>
      <c r="E93" s="2" t="s">
        <v>442</v>
      </c>
      <c r="F93" s="2" t="s">
        <v>540</v>
      </c>
      <c r="G93" s="2" t="s">
        <v>548</v>
      </c>
      <c r="H93" s="2" t="s">
        <v>553</v>
      </c>
      <c r="I93" s="4">
        <v>2</v>
      </c>
      <c r="J93" s="5">
        <v>45000</v>
      </c>
      <c r="K93" s="5">
        <f>ROUND(IF(ISNUMBER(J93), I93*J93, I93),5)</f>
        <v>90000</v>
      </c>
    </row>
    <row r="94" spans="1:11" x14ac:dyDescent="0.3">
      <c r="A94" s="2" t="s">
        <v>12</v>
      </c>
      <c r="B94" s="3">
        <v>45796</v>
      </c>
      <c r="C94" s="2" t="s">
        <v>67</v>
      </c>
      <c r="D94" s="2" t="s">
        <v>350</v>
      </c>
      <c r="E94" s="2" t="s">
        <v>474</v>
      </c>
      <c r="F94" s="2" t="s">
        <v>542</v>
      </c>
      <c r="G94" s="2"/>
      <c r="H94" s="2" t="s">
        <v>553</v>
      </c>
      <c r="I94" s="4">
        <v>-1</v>
      </c>
      <c r="J94" s="5">
        <v>5930</v>
      </c>
      <c r="K94" s="5">
        <f>ROUND(IF(ISNUMBER(J94), I94*J94, I94),5)</f>
        <v>-5930</v>
      </c>
    </row>
    <row r="95" spans="1:11" x14ac:dyDescent="0.3">
      <c r="A95" s="2" t="s">
        <v>12</v>
      </c>
      <c r="B95" s="3">
        <v>45796</v>
      </c>
      <c r="C95" s="2" t="s">
        <v>67</v>
      </c>
      <c r="D95" s="2" t="s">
        <v>350</v>
      </c>
      <c r="E95" s="2" t="s">
        <v>456</v>
      </c>
      <c r="F95" s="2" t="s">
        <v>542</v>
      </c>
      <c r="G95" s="2"/>
      <c r="H95" s="2" t="s">
        <v>553</v>
      </c>
      <c r="I95" s="4">
        <v>-2</v>
      </c>
      <c r="J95" s="5">
        <v>15500</v>
      </c>
      <c r="K95" s="5">
        <f>ROUND(IF(ISNUMBER(J95), I95*J95, I95),5)</f>
        <v>-31000</v>
      </c>
    </row>
    <row r="96" spans="1:11" x14ac:dyDescent="0.3">
      <c r="A96" s="2" t="s">
        <v>12</v>
      </c>
      <c r="B96" s="3">
        <v>45796</v>
      </c>
      <c r="C96" s="2" t="s">
        <v>67</v>
      </c>
      <c r="D96" s="2" t="s">
        <v>350</v>
      </c>
      <c r="E96" s="2" t="s">
        <v>492</v>
      </c>
      <c r="F96" s="2" t="s">
        <v>542</v>
      </c>
      <c r="G96" s="2"/>
      <c r="H96" s="2" t="s">
        <v>553</v>
      </c>
      <c r="I96" s="4">
        <v>-1</v>
      </c>
      <c r="J96" s="5">
        <v>3300</v>
      </c>
      <c r="K96" s="5">
        <f>ROUND(IF(ISNUMBER(J96), I96*J96, I96),5)</f>
        <v>-3300</v>
      </c>
    </row>
    <row r="97" spans="1:11" x14ac:dyDescent="0.3">
      <c r="A97" s="2" t="s">
        <v>12</v>
      </c>
      <c r="B97" s="3">
        <v>45796</v>
      </c>
      <c r="C97" s="2" t="s">
        <v>67</v>
      </c>
      <c r="D97" s="2" t="s">
        <v>350</v>
      </c>
      <c r="E97" s="2" t="s">
        <v>493</v>
      </c>
      <c r="F97" s="2" t="s">
        <v>542</v>
      </c>
      <c r="G97" s="2"/>
      <c r="H97" s="2" t="s">
        <v>553</v>
      </c>
      <c r="I97" s="4">
        <v>-1</v>
      </c>
      <c r="J97" s="5">
        <v>16400</v>
      </c>
      <c r="K97" s="5">
        <f>ROUND(IF(ISNUMBER(J97), I97*J97, I97),5)</f>
        <v>-16400</v>
      </c>
    </row>
    <row r="98" spans="1:11" x14ac:dyDescent="0.3">
      <c r="A98" s="2" t="s">
        <v>12</v>
      </c>
      <c r="B98" s="3">
        <v>45796</v>
      </c>
      <c r="C98" s="2" t="s">
        <v>67</v>
      </c>
      <c r="D98" s="2" t="s">
        <v>350</v>
      </c>
      <c r="E98" s="2" t="s">
        <v>490</v>
      </c>
      <c r="F98" s="2" t="s">
        <v>542</v>
      </c>
      <c r="G98" s="2"/>
      <c r="H98" s="2" t="s">
        <v>553</v>
      </c>
      <c r="I98" s="4">
        <v>-1</v>
      </c>
      <c r="J98" s="5">
        <v>5350</v>
      </c>
      <c r="K98" s="5">
        <f>ROUND(IF(ISNUMBER(J98), I98*J98, I98),5)</f>
        <v>-5350</v>
      </c>
    </row>
    <row r="99" spans="1:11" x14ac:dyDescent="0.3">
      <c r="A99" s="2" t="s">
        <v>12</v>
      </c>
      <c r="B99" s="3">
        <v>45796</v>
      </c>
      <c r="C99" s="2" t="s">
        <v>67</v>
      </c>
      <c r="D99" s="2" t="s">
        <v>350</v>
      </c>
      <c r="E99" s="2" t="s">
        <v>494</v>
      </c>
      <c r="F99" s="2" t="s">
        <v>542</v>
      </c>
      <c r="G99" s="2"/>
      <c r="H99" s="2" t="s">
        <v>553</v>
      </c>
      <c r="I99" s="4">
        <v>-2</v>
      </c>
      <c r="J99" s="5">
        <v>16050</v>
      </c>
      <c r="K99" s="5">
        <f>ROUND(IF(ISNUMBER(J99), I99*J99, I99),5)</f>
        <v>-32100</v>
      </c>
    </row>
    <row r="100" spans="1:11" x14ac:dyDescent="0.3">
      <c r="A100" s="2" t="s">
        <v>12</v>
      </c>
      <c r="B100" s="3">
        <v>45796</v>
      </c>
      <c r="C100" s="2" t="s">
        <v>67</v>
      </c>
      <c r="D100" s="2" t="s">
        <v>350</v>
      </c>
      <c r="E100" s="2" t="s">
        <v>486</v>
      </c>
      <c r="F100" s="2" t="s">
        <v>542</v>
      </c>
      <c r="G100" s="2"/>
      <c r="H100" s="2" t="s">
        <v>553</v>
      </c>
      <c r="I100" s="4">
        <v>-1</v>
      </c>
      <c r="J100" s="5">
        <v>47000</v>
      </c>
      <c r="K100" s="5">
        <f>ROUND(IF(ISNUMBER(J100), I100*J100, I100),5)</f>
        <v>-47000</v>
      </c>
    </row>
    <row r="101" spans="1:11" x14ac:dyDescent="0.3">
      <c r="A101" s="2" t="s">
        <v>11</v>
      </c>
      <c r="B101" s="3">
        <v>45796</v>
      </c>
      <c r="C101" s="2" t="s">
        <v>68</v>
      </c>
      <c r="D101" s="2" t="s">
        <v>351</v>
      </c>
      <c r="E101" s="2" t="s">
        <v>495</v>
      </c>
      <c r="F101" s="2" t="s">
        <v>540</v>
      </c>
      <c r="G101" s="2" t="s">
        <v>551</v>
      </c>
      <c r="H101" s="2" t="s">
        <v>553</v>
      </c>
      <c r="I101" s="4">
        <v>1</v>
      </c>
      <c r="J101" s="5">
        <v>124000</v>
      </c>
      <c r="K101" s="5">
        <f>ROUND(IF(ISNUMBER(J101), I101*J101, I101),5)</f>
        <v>124000</v>
      </c>
    </row>
    <row r="102" spans="1:11" x14ac:dyDescent="0.3">
      <c r="A102" s="2" t="s">
        <v>11</v>
      </c>
      <c r="B102" s="3">
        <v>45797</v>
      </c>
      <c r="C102" s="2" t="s">
        <v>69</v>
      </c>
      <c r="D102" s="2" t="s">
        <v>328</v>
      </c>
      <c r="E102" s="2" t="s">
        <v>454</v>
      </c>
      <c r="F102" s="2" t="s">
        <v>543</v>
      </c>
      <c r="G102" s="2" t="s">
        <v>552</v>
      </c>
      <c r="H102" s="2" t="s">
        <v>554</v>
      </c>
      <c r="I102" s="4">
        <v>1</v>
      </c>
      <c r="J102" s="5">
        <v>2000</v>
      </c>
      <c r="K102" s="5">
        <f>ROUND(IF(ISNUMBER(J102), I102*J102, I102),5)</f>
        <v>2000</v>
      </c>
    </row>
    <row r="103" spans="1:11" x14ac:dyDescent="0.3">
      <c r="A103" s="2" t="s">
        <v>11</v>
      </c>
      <c r="B103" s="3">
        <v>45797</v>
      </c>
      <c r="C103" s="2" t="s">
        <v>70</v>
      </c>
      <c r="D103" s="2" t="s">
        <v>328</v>
      </c>
      <c r="E103" s="2" t="s">
        <v>454</v>
      </c>
      <c r="F103" s="2" t="s">
        <v>543</v>
      </c>
      <c r="G103" s="2" t="s">
        <v>552</v>
      </c>
      <c r="H103" s="2" t="s">
        <v>554</v>
      </c>
      <c r="I103" s="4">
        <v>1</v>
      </c>
      <c r="J103" s="5">
        <v>2000</v>
      </c>
      <c r="K103" s="5">
        <f>ROUND(IF(ISNUMBER(J103), I103*J103, I103),5)</f>
        <v>2000</v>
      </c>
    </row>
    <row r="104" spans="1:11" x14ac:dyDescent="0.3">
      <c r="A104" s="2" t="s">
        <v>11</v>
      </c>
      <c r="B104" s="3">
        <v>45797</v>
      </c>
      <c r="C104" s="2" t="s">
        <v>71</v>
      </c>
      <c r="D104" s="2" t="s">
        <v>335</v>
      </c>
      <c r="E104" s="2" t="s">
        <v>473</v>
      </c>
      <c r="F104" s="2" t="s">
        <v>544</v>
      </c>
      <c r="G104" s="2" t="s">
        <v>549</v>
      </c>
      <c r="H104" s="2" t="s">
        <v>553</v>
      </c>
      <c r="I104" s="4">
        <v>1</v>
      </c>
      <c r="J104" s="5">
        <v>18473.91</v>
      </c>
      <c r="K104" s="5">
        <f>ROUND(IF(ISNUMBER(J104), I104*J104, I104),5)</f>
        <v>18473.91</v>
      </c>
    </row>
    <row r="105" spans="1:11" x14ac:dyDescent="0.3">
      <c r="A105" s="2" t="s">
        <v>11</v>
      </c>
      <c r="B105" s="3">
        <v>45797</v>
      </c>
      <c r="C105" s="2" t="s">
        <v>72</v>
      </c>
      <c r="D105" s="2" t="s">
        <v>335</v>
      </c>
      <c r="E105" s="2" t="s">
        <v>472</v>
      </c>
      <c r="F105" s="2" t="s">
        <v>544</v>
      </c>
      <c r="G105" s="2" t="s">
        <v>549</v>
      </c>
      <c r="H105" s="2" t="s">
        <v>553</v>
      </c>
      <c r="I105" s="4">
        <v>1</v>
      </c>
      <c r="J105" s="5">
        <v>6732.66</v>
      </c>
      <c r="K105" s="5">
        <f>ROUND(IF(ISNUMBER(J105), I105*J105, I105),5)</f>
        <v>6732.66</v>
      </c>
    </row>
    <row r="106" spans="1:11" x14ac:dyDescent="0.3">
      <c r="A106" s="2" t="s">
        <v>11</v>
      </c>
      <c r="B106" s="3">
        <v>45797</v>
      </c>
      <c r="C106" s="2" t="s">
        <v>73</v>
      </c>
      <c r="D106" s="2" t="s">
        <v>336</v>
      </c>
      <c r="E106" s="2" t="s">
        <v>473</v>
      </c>
      <c r="F106" s="2" t="s">
        <v>544</v>
      </c>
      <c r="G106" s="2" t="s">
        <v>549</v>
      </c>
      <c r="H106" s="2" t="s">
        <v>553</v>
      </c>
      <c r="I106" s="4">
        <v>1</v>
      </c>
      <c r="J106" s="5">
        <v>15150</v>
      </c>
      <c r="K106" s="5">
        <f>ROUND(IF(ISNUMBER(J106), I106*J106, I106),5)</f>
        <v>15150</v>
      </c>
    </row>
    <row r="107" spans="1:11" x14ac:dyDescent="0.3">
      <c r="A107" s="2" t="s">
        <v>11</v>
      </c>
      <c r="B107" s="3">
        <v>45797</v>
      </c>
      <c r="C107" s="2" t="s">
        <v>74</v>
      </c>
      <c r="D107" s="2" t="s">
        <v>334</v>
      </c>
      <c r="E107" s="2" t="s">
        <v>471</v>
      </c>
      <c r="F107" s="2" t="s">
        <v>544</v>
      </c>
      <c r="G107" s="2" t="s">
        <v>549</v>
      </c>
      <c r="H107" s="2" t="s">
        <v>553</v>
      </c>
      <c r="I107" s="4">
        <v>1</v>
      </c>
      <c r="J107" s="4">
        <v>3030</v>
      </c>
      <c r="K107" s="5">
        <f>ROUND(IF(ISNUMBER(J107), I107*J107, I107),5)</f>
        <v>3030</v>
      </c>
    </row>
    <row r="108" spans="1:11" x14ac:dyDescent="0.3">
      <c r="A108" s="2" t="s">
        <v>11</v>
      </c>
      <c r="B108" s="3">
        <v>45797</v>
      </c>
      <c r="C108" s="2" t="s">
        <v>75</v>
      </c>
      <c r="D108" s="2" t="s">
        <v>314</v>
      </c>
      <c r="E108" s="2" t="s">
        <v>444</v>
      </c>
      <c r="F108" s="2" t="s">
        <v>519</v>
      </c>
      <c r="G108" s="2" t="s">
        <v>551</v>
      </c>
      <c r="H108" s="2" t="s">
        <v>553</v>
      </c>
      <c r="I108" s="4">
        <v>1</v>
      </c>
      <c r="J108" s="5">
        <v>139000</v>
      </c>
      <c r="K108" s="5">
        <f>ROUND(IF(ISNUMBER(J108), I108*J108, I108),5)</f>
        <v>139000</v>
      </c>
    </row>
    <row r="109" spans="1:11" x14ac:dyDescent="0.3">
      <c r="A109" s="2" t="s">
        <v>11</v>
      </c>
      <c r="B109" s="3">
        <v>45797</v>
      </c>
      <c r="C109" s="2" t="s">
        <v>75</v>
      </c>
      <c r="D109" s="2" t="s">
        <v>314</v>
      </c>
      <c r="E109" s="2" t="s">
        <v>447</v>
      </c>
      <c r="F109" s="2" t="s">
        <v>540</v>
      </c>
      <c r="G109" s="2" t="s">
        <v>551</v>
      </c>
      <c r="H109" s="2" t="s">
        <v>553</v>
      </c>
      <c r="I109" s="4">
        <v>2</v>
      </c>
      <c r="J109" s="5">
        <v>37000</v>
      </c>
      <c r="K109" s="5">
        <f>ROUND(IF(ISNUMBER(J109), I109*J109, I109),5)</f>
        <v>74000</v>
      </c>
    </row>
    <row r="110" spans="1:11" x14ac:dyDescent="0.3">
      <c r="A110" s="2" t="s">
        <v>11</v>
      </c>
      <c r="B110" s="3">
        <v>45798</v>
      </c>
      <c r="C110" s="2" t="s">
        <v>76</v>
      </c>
      <c r="D110" s="2" t="s">
        <v>325</v>
      </c>
      <c r="E110" s="2" t="s">
        <v>496</v>
      </c>
      <c r="F110" s="2" t="s">
        <v>545</v>
      </c>
      <c r="G110" s="2" t="s">
        <v>548</v>
      </c>
      <c r="H110" s="2" t="s">
        <v>553</v>
      </c>
      <c r="I110" s="4">
        <v>2</v>
      </c>
      <c r="J110" s="5">
        <v>10000</v>
      </c>
      <c r="K110" s="5">
        <f>ROUND(IF(ISNUMBER(J110), I110*J110, I110),5)</f>
        <v>20000</v>
      </c>
    </row>
    <row r="111" spans="1:11" x14ac:dyDescent="0.3">
      <c r="A111" s="2" t="s">
        <v>11</v>
      </c>
      <c r="B111" s="3">
        <v>45798</v>
      </c>
      <c r="C111" s="2" t="s">
        <v>77</v>
      </c>
      <c r="D111" s="2" t="s">
        <v>352</v>
      </c>
      <c r="E111" s="2" t="s">
        <v>451</v>
      </c>
      <c r="F111" s="2" t="s">
        <v>540</v>
      </c>
      <c r="G111" s="2" t="s">
        <v>549</v>
      </c>
      <c r="H111" s="2" t="s">
        <v>553</v>
      </c>
      <c r="I111" s="4">
        <v>2</v>
      </c>
      <c r="J111" s="5">
        <v>128000</v>
      </c>
      <c r="K111" s="5">
        <f>ROUND(IF(ISNUMBER(J111), I111*J111, I111),5)</f>
        <v>256000</v>
      </c>
    </row>
    <row r="112" spans="1:11" x14ac:dyDescent="0.3">
      <c r="A112" s="2" t="s">
        <v>11</v>
      </c>
      <c r="B112" s="3">
        <v>45799</v>
      </c>
      <c r="C112" s="2" t="s">
        <v>78</v>
      </c>
      <c r="D112" s="2" t="s">
        <v>353</v>
      </c>
      <c r="E112" s="2" t="s">
        <v>472</v>
      </c>
      <c r="F112" s="2" t="s">
        <v>544</v>
      </c>
      <c r="G112" s="2" t="s">
        <v>551</v>
      </c>
      <c r="H112" s="2" t="s">
        <v>554</v>
      </c>
      <c r="I112" s="4">
        <v>1</v>
      </c>
      <c r="J112" s="5">
        <v>5000</v>
      </c>
      <c r="K112" s="5">
        <f>ROUND(IF(ISNUMBER(J112), I112*J112, I112),5)</f>
        <v>5000</v>
      </c>
    </row>
    <row r="113" spans="1:11" x14ac:dyDescent="0.3">
      <c r="A113" s="2" t="s">
        <v>11</v>
      </c>
      <c r="B113" s="3">
        <v>45799</v>
      </c>
      <c r="C113" s="2" t="s">
        <v>79</v>
      </c>
      <c r="D113" s="2" t="s">
        <v>330</v>
      </c>
      <c r="E113" s="2" t="s">
        <v>448</v>
      </c>
      <c r="F113" s="2" t="s">
        <v>540</v>
      </c>
      <c r="G113" s="2" t="s">
        <v>549</v>
      </c>
      <c r="H113" s="2" t="s">
        <v>553</v>
      </c>
      <c r="I113" s="4">
        <v>2</v>
      </c>
      <c r="J113" s="5">
        <v>121000</v>
      </c>
      <c r="K113" s="5">
        <f>ROUND(IF(ISNUMBER(J113), I113*J113, I113),5)</f>
        <v>242000</v>
      </c>
    </row>
    <row r="114" spans="1:11" x14ac:dyDescent="0.3">
      <c r="A114" s="2" t="s">
        <v>11</v>
      </c>
      <c r="B114" s="3">
        <v>45800</v>
      </c>
      <c r="C114" s="2" t="s">
        <v>80</v>
      </c>
      <c r="D114" s="2" t="s">
        <v>354</v>
      </c>
      <c r="E114" s="2" t="s">
        <v>497</v>
      </c>
      <c r="F114" s="2" t="s">
        <v>519</v>
      </c>
      <c r="G114" s="2" t="s">
        <v>551</v>
      </c>
      <c r="H114" s="2" t="s">
        <v>553</v>
      </c>
      <c r="I114" s="4">
        <v>1</v>
      </c>
      <c r="J114" s="5">
        <v>33000</v>
      </c>
      <c r="K114" s="5">
        <f>ROUND(IF(ISNUMBER(J114), I114*J114, I114),5)</f>
        <v>33000</v>
      </c>
    </row>
    <row r="115" spans="1:11" x14ac:dyDescent="0.3">
      <c r="A115" s="2" t="s">
        <v>11</v>
      </c>
      <c r="B115" s="3">
        <v>45800</v>
      </c>
      <c r="C115" s="2" t="s">
        <v>81</v>
      </c>
      <c r="D115" s="2" t="s">
        <v>338</v>
      </c>
      <c r="E115" s="2" t="s">
        <v>452</v>
      </c>
      <c r="F115" s="2" t="s">
        <v>542</v>
      </c>
      <c r="G115" s="2" t="s">
        <v>550</v>
      </c>
      <c r="H115" s="2" t="s">
        <v>554</v>
      </c>
      <c r="I115" s="4">
        <v>1</v>
      </c>
      <c r="J115" s="5">
        <v>10600</v>
      </c>
      <c r="K115" s="5">
        <f>ROUND(IF(ISNUMBER(J115), I115*J115, I115),5)</f>
        <v>10600</v>
      </c>
    </row>
    <row r="116" spans="1:11" x14ac:dyDescent="0.3">
      <c r="A116" s="2" t="s">
        <v>11</v>
      </c>
      <c r="B116" s="3">
        <v>45800</v>
      </c>
      <c r="C116" s="2" t="s">
        <v>82</v>
      </c>
      <c r="D116" s="2" t="s">
        <v>355</v>
      </c>
      <c r="E116" s="2" t="s">
        <v>475</v>
      </c>
      <c r="F116" s="2" t="s">
        <v>450</v>
      </c>
      <c r="G116" s="2" t="s">
        <v>551</v>
      </c>
      <c r="H116" s="2" t="s">
        <v>553</v>
      </c>
      <c r="I116" s="4">
        <v>1</v>
      </c>
      <c r="J116" s="5">
        <v>70000</v>
      </c>
      <c r="K116" s="5">
        <f>ROUND(IF(ISNUMBER(J116), I116*J116, I116),5)</f>
        <v>70000</v>
      </c>
    </row>
    <row r="117" spans="1:11" x14ac:dyDescent="0.3">
      <c r="A117" s="2" t="s">
        <v>11</v>
      </c>
      <c r="B117" s="3">
        <v>45801</v>
      </c>
      <c r="C117" s="2" t="s">
        <v>83</v>
      </c>
      <c r="D117" s="2" t="s">
        <v>356</v>
      </c>
      <c r="E117" s="2" t="s">
        <v>472</v>
      </c>
      <c r="F117" s="2" t="s">
        <v>544</v>
      </c>
      <c r="G117" s="2" t="s">
        <v>548</v>
      </c>
      <c r="H117" s="2" t="s">
        <v>553</v>
      </c>
      <c r="I117" s="4">
        <v>1</v>
      </c>
      <c r="J117" s="5">
        <v>10000</v>
      </c>
      <c r="K117" s="5">
        <f>ROUND(IF(ISNUMBER(J117), I117*J117, I117),5)</f>
        <v>10000</v>
      </c>
    </row>
    <row r="118" spans="1:11" x14ac:dyDescent="0.3">
      <c r="A118" s="2" t="s">
        <v>11</v>
      </c>
      <c r="B118" s="3">
        <v>45805</v>
      </c>
      <c r="C118" s="2" t="s">
        <v>84</v>
      </c>
      <c r="D118" s="2" t="s">
        <v>325</v>
      </c>
      <c r="E118" s="2" t="s">
        <v>498</v>
      </c>
      <c r="F118" s="2" t="s">
        <v>519</v>
      </c>
      <c r="G118" s="2" t="s">
        <v>548</v>
      </c>
      <c r="H118" s="2" t="s">
        <v>553</v>
      </c>
      <c r="I118" s="4">
        <v>1</v>
      </c>
      <c r="J118" s="5">
        <v>1155000</v>
      </c>
      <c r="K118" s="5">
        <f>ROUND(IF(ISNUMBER(J118), I118*J118, I118),5)</f>
        <v>1155000</v>
      </c>
    </row>
    <row r="119" spans="1:11" x14ac:dyDescent="0.3">
      <c r="A119" s="2" t="s">
        <v>11</v>
      </c>
      <c r="B119" s="3">
        <v>45805</v>
      </c>
      <c r="C119" s="2" t="s">
        <v>84</v>
      </c>
      <c r="D119" s="2" t="s">
        <v>325</v>
      </c>
      <c r="E119" s="2" t="s">
        <v>485</v>
      </c>
      <c r="F119" s="2" t="s">
        <v>540</v>
      </c>
      <c r="G119" s="2" t="s">
        <v>548</v>
      </c>
      <c r="H119" s="2" t="s">
        <v>553</v>
      </c>
      <c r="I119" s="4">
        <v>6</v>
      </c>
      <c r="J119" s="5">
        <v>120800</v>
      </c>
      <c r="K119" s="5">
        <f>ROUND(IF(ISNUMBER(J119), I119*J119, I119),5)</f>
        <v>724800</v>
      </c>
    </row>
    <row r="120" spans="1:11" x14ac:dyDescent="0.3">
      <c r="A120" s="2" t="s">
        <v>11</v>
      </c>
      <c r="B120" s="3">
        <v>45805</v>
      </c>
      <c r="C120" s="2" t="s">
        <v>84</v>
      </c>
      <c r="D120" s="2" t="s">
        <v>325</v>
      </c>
      <c r="E120" s="2" t="s">
        <v>499</v>
      </c>
      <c r="F120" s="2" t="s">
        <v>540</v>
      </c>
      <c r="G120" s="2" t="s">
        <v>548</v>
      </c>
      <c r="H120" s="2" t="s">
        <v>553</v>
      </c>
      <c r="I120" s="4">
        <v>2</v>
      </c>
      <c r="J120" s="5">
        <v>57000</v>
      </c>
      <c r="K120" s="5">
        <f>ROUND(IF(ISNUMBER(J120), I120*J120, I120),5)</f>
        <v>114000</v>
      </c>
    </row>
    <row r="121" spans="1:11" x14ac:dyDescent="0.3">
      <c r="A121" s="2" t="s">
        <v>11</v>
      </c>
      <c r="B121" s="3">
        <v>45805</v>
      </c>
      <c r="C121" s="2" t="s">
        <v>84</v>
      </c>
      <c r="D121" s="2" t="s">
        <v>325</v>
      </c>
      <c r="E121" s="2" t="s">
        <v>460</v>
      </c>
      <c r="F121" s="2" t="s">
        <v>519</v>
      </c>
      <c r="G121" s="2" t="s">
        <v>548</v>
      </c>
      <c r="H121" s="2" t="s">
        <v>553</v>
      </c>
      <c r="I121" s="4">
        <v>1</v>
      </c>
      <c r="J121" s="5"/>
      <c r="K121" s="5"/>
    </row>
    <row r="122" spans="1:11" x14ac:dyDescent="0.3">
      <c r="A122" s="2" t="s">
        <v>11</v>
      </c>
      <c r="B122" s="3">
        <v>45805</v>
      </c>
      <c r="C122" s="2" t="s">
        <v>85</v>
      </c>
      <c r="D122" s="2" t="s">
        <v>357</v>
      </c>
      <c r="E122" s="2" t="s">
        <v>465</v>
      </c>
      <c r="F122" s="2" t="s">
        <v>544</v>
      </c>
      <c r="G122" s="2" t="s">
        <v>551</v>
      </c>
      <c r="H122" s="2" t="s">
        <v>553</v>
      </c>
      <c r="I122" s="4">
        <v>1</v>
      </c>
      <c r="J122" s="5">
        <v>178575</v>
      </c>
      <c r="K122" s="5">
        <f>ROUND(IF(ISNUMBER(J122), I122*J122, I122),5)</f>
        <v>178575</v>
      </c>
    </row>
    <row r="123" spans="1:11" x14ac:dyDescent="0.3">
      <c r="A123" s="2" t="s">
        <v>11</v>
      </c>
      <c r="B123" s="3">
        <v>45805</v>
      </c>
      <c r="C123" s="2" t="s">
        <v>86</v>
      </c>
      <c r="D123" s="2" t="s">
        <v>358</v>
      </c>
      <c r="E123" s="2" t="s">
        <v>496</v>
      </c>
      <c r="F123" s="2" t="s">
        <v>545</v>
      </c>
      <c r="G123" s="2" t="s">
        <v>549</v>
      </c>
      <c r="H123" s="2" t="s">
        <v>553</v>
      </c>
      <c r="I123" s="4">
        <v>1</v>
      </c>
      <c r="J123" s="5">
        <v>35000</v>
      </c>
      <c r="K123" s="5">
        <f>ROUND(IF(ISNUMBER(J123), I123*J123, I123),5)</f>
        <v>35000</v>
      </c>
    </row>
    <row r="124" spans="1:11" x14ac:dyDescent="0.3">
      <c r="A124" s="2" t="s">
        <v>11</v>
      </c>
      <c r="B124" s="3">
        <v>45805</v>
      </c>
      <c r="C124" s="2" t="s">
        <v>86</v>
      </c>
      <c r="D124" s="2" t="s">
        <v>358</v>
      </c>
      <c r="E124" s="2" t="s">
        <v>472</v>
      </c>
      <c r="F124" s="2" t="s">
        <v>544</v>
      </c>
      <c r="G124" s="2" t="s">
        <v>549</v>
      </c>
      <c r="H124" s="2" t="s">
        <v>553</v>
      </c>
      <c r="I124" s="4">
        <v>1</v>
      </c>
      <c r="J124" s="5">
        <v>20000</v>
      </c>
      <c r="K124" s="5">
        <f>ROUND(IF(ISNUMBER(J124), I124*J124, I124),5)</f>
        <v>20000</v>
      </c>
    </row>
    <row r="125" spans="1:11" x14ac:dyDescent="0.3">
      <c r="A125" s="2" t="s">
        <v>11</v>
      </c>
      <c r="B125" s="3">
        <v>45805</v>
      </c>
      <c r="C125" s="2" t="s">
        <v>86</v>
      </c>
      <c r="D125" s="2" t="s">
        <v>358</v>
      </c>
      <c r="E125" s="2" t="s">
        <v>441</v>
      </c>
      <c r="F125" s="2" t="s">
        <v>547</v>
      </c>
      <c r="G125" s="2" t="s">
        <v>549</v>
      </c>
      <c r="H125" s="2" t="s">
        <v>553</v>
      </c>
      <c r="I125" s="4"/>
      <c r="J125" s="5">
        <v>-10000</v>
      </c>
      <c r="K125" s="5">
        <v>-10000</v>
      </c>
    </row>
    <row r="126" spans="1:11" x14ac:dyDescent="0.3">
      <c r="A126" s="2" t="s">
        <v>11</v>
      </c>
      <c r="B126" s="3">
        <v>45805</v>
      </c>
      <c r="C126" s="2" t="s">
        <v>87</v>
      </c>
      <c r="D126" s="2" t="s">
        <v>319</v>
      </c>
      <c r="E126" s="2" t="s">
        <v>455</v>
      </c>
      <c r="F126" s="2" t="s">
        <v>542</v>
      </c>
      <c r="G126" s="2" t="s">
        <v>550</v>
      </c>
      <c r="H126" s="2" t="s">
        <v>554</v>
      </c>
      <c r="I126" s="4">
        <v>2</v>
      </c>
      <c r="J126" s="5">
        <v>4700</v>
      </c>
      <c r="K126" s="5">
        <f>ROUND(IF(ISNUMBER(J126), I126*J126, I126),5)</f>
        <v>9400</v>
      </c>
    </row>
    <row r="127" spans="1:11" x14ac:dyDescent="0.3">
      <c r="A127" s="2" t="s">
        <v>11</v>
      </c>
      <c r="B127" s="3">
        <v>45806</v>
      </c>
      <c r="C127" s="2" t="s">
        <v>88</v>
      </c>
      <c r="D127" s="2" t="s">
        <v>359</v>
      </c>
      <c r="E127" s="2" t="s">
        <v>485</v>
      </c>
      <c r="F127" s="2" t="s">
        <v>540</v>
      </c>
      <c r="G127" s="2" t="s">
        <v>549</v>
      </c>
      <c r="H127" s="2" t="s">
        <v>553</v>
      </c>
      <c r="I127" s="4">
        <v>1</v>
      </c>
      <c r="J127" s="5">
        <v>79000</v>
      </c>
      <c r="K127" s="5">
        <f>ROUND(IF(ISNUMBER(J127), I127*J127, I127),5)</f>
        <v>79000</v>
      </c>
    </row>
    <row r="128" spans="1:11" x14ac:dyDescent="0.3">
      <c r="A128" s="2" t="s">
        <v>11</v>
      </c>
      <c r="B128" s="3">
        <v>45806</v>
      </c>
      <c r="C128" s="2" t="s">
        <v>89</v>
      </c>
      <c r="D128" s="2" t="s">
        <v>360</v>
      </c>
      <c r="E128" s="2" t="s">
        <v>472</v>
      </c>
      <c r="F128" s="2" t="s">
        <v>544</v>
      </c>
      <c r="G128" s="2" t="s">
        <v>549</v>
      </c>
      <c r="H128" s="2" t="s">
        <v>553</v>
      </c>
      <c r="I128" s="4">
        <v>1</v>
      </c>
      <c r="J128" s="5">
        <v>10000</v>
      </c>
      <c r="K128" s="5">
        <f>ROUND(IF(ISNUMBER(J128), I128*J128, I128),5)</f>
        <v>10000</v>
      </c>
    </row>
    <row r="129" spans="1:11" x14ac:dyDescent="0.3">
      <c r="A129" s="2" t="s">
        <v>11</v>
      </c>
      <c r="B129" s="3">
        <v>45807</v>
      </c>
      <c r="C129" s="2" t="s">
        <v>90</v>
      </c>
      <c r="D129" s="2" t="s">
        <v>348</v>
      </c>
      <c r="E129" s="2" t="s">
        <v>500</v>
      </c>
      <c r="F129" s="2" t="s">
        <v>519</v>
      </c>
      <c r="G129" s="2" t="s">
        <v>551</v>
      </c>
      <c r="H129" s="2" t="s">
        <v>553</v>
      </c>
      <c r="I129" s="4">
        <v>1</v>
      </c>
      <c r="J129" s="5">
        <v>217000</v>
      </c>
      <c r="K129" s="5">
        <f>ROUND(IF(ISNUMBER(J129), I129*J129, I129),5)</f>
        <v>217000</v>
      </c>
    </row>
    <row r="130" spans="1:11" x14ac:dyDescent="0.3">
      <c r="A130" s="2" t="s">
        <v>11</v>
      </c>
      <c r="B130" s="3">
        <v>45807</v>
      </c>
      <c r="C130" s="2" t="s">
        <v>90</v>
      </c>
      <c r="D130" s="2" t="s">
        <v>348</v>
      </c>
      <c r="E130" s="2" t="s">
        <v>451</v>
      </c>
      <c r="F130" s="2" t="s">
        <v>540</v>
      </c>
      <c r="G130" s="2" t="s">
        <v>551</v>
      </c>
      <c r="H130" s="2" t="s">
        <v>553</v>
      </c>
      <c r="I130" s="4">
        <v>4</v>
      </c>
      <c r="J130" s="5">
        <v>130000</v>
      </c>
      <c r="K130" s="5">
        <f>ROUND(IF(ISNUMBER(J130), I130*J130, I130),5)</f>
        <v>520000</v>
      </c>
    </row>
    <row r="131" spans="1:11" x14ac:dyDescent="0.3">
      <c r="A131" s="2" t="s">
        <v>11</v>
      </c>
      <c r="B131" s="3">
        <v>45807</v>
      </c>
      <c r="C131" s="2" t="s">
        <v>91</v>
      </c>
      <c r="D131" s="2" t="s">
        <v>361</v>
      </c>
      <c r="E131" s="2" t="s">
        <v>488</v>
      </c>
      <c r="F131" s="2" t="s">
        <v>519</v>
      </c>
      <c r="G131" s="2" t="s">
        <v>548</v>
      </c>
      <c r="H131" s="2" t="s">
        <v>554</v>
      </c>
      <c r="I131" s="4">
        <v>1</v>
      </c>
      <c r="J131" s="5">
        <v>106332.75</v>
      </c>
      <c r="K131" s="5">
        <f>ROUND(IF(ISNUMBER(J131), I131*J131, I131),5)</f>
        <v>106332.75</v>
      </c>
    </row>
    <row r="132" spans="1:11" x14ac:dyDescent="0.3">
      <c r="A132" s="2" t="s">
        <v>11</v>
      </c>
      <c r="B132" s="3">
        <v>45807</v>
      </c>
      <c r="C132" s="2" t="s">
        <v>91</v>
      </c>
      <c r="D132" s="2" t="s">
        <v>361</v>
      </c>
      <c r="E132" s="2" t="s">
        <v>466</v>
      </c>
      <c r="F132" s="2" t="s">
        <v>540</v>
      </c>
      <c r="G132" s="2" t="s">
        <v>548</v>
      </c>
      <c r="H132" s="2" t="s">
        <v>554</v>
      </c>
      <c r="I132" s="4">
        <v>2</v>
      </c>
      <c r="J132" s="5">
        <v>71685</v>
      </c>
      <c r="K132" s="5">
        <f>ROUND(IF(ISNUMBER(J132), I132*J132, I132),5)</f>
        <v>143370</v>
      </c>
    </row>
    <row r="133" spans="1:11" x14ac:dyDescent="0.3">
      <c r="A133" s="2" t="s">
        <v>11</v>
      </c>
      <c r="B133" s="3">
        <v>45810</v>
      </c>
      <c r="C133" s="2" t="s">
        <v>92</v>
      </c>
      <c r="D133" s="2" t="s">
        <v>338</v>
      </c>
      <c r="E133" s="2" t="s">
        <v>452</v>
      </c>
      <c r="F133" s="2" t="s">
        <v>542</v>
      </c>
      <c r="G133" s="2" t="s">
        <v>550</v>
      </c>
      <c r="H133" s="2" t="s">
        <v>554</v>
      </c>
      <c r="I133" s="4">
        <v>2</v>
      </c>
      <c r="J133" s="5">
        <v>10600</v>
      </c>
      <c r="K133" s="5">
        <f>ROUND(IF(ISNUMBER(J133), I133*J133, I133),5)</f>
        <v>21200</v>
      </c>
    </row>
    <row r="134" spans="1:11" x14ac:dyDescent="0.3">
      <c r="A134" s="2" t="s">
        <v>11</v>
      </c>
      <c r="B134" s="3">
        <v>45810</v>
      </c>
      <c r="C134" s="2" t="s">
        <v>93</v>
      </c>
      <c r="D134" s="2" t="s">
        <v>362</v>
      </c>
      <c r="E134" s="2" t="s">
        <v>481</v>
      </c>
      <c r="F134" s="2" t="s">
        <v>519</v>
      </c>
      <c r="G134" s="2" t="s">
        <v>548</v>
      </c>
      <c r="H134" s="2" t="s">
        <v>553</v>
      </c>
      <c r="I134" s="4">
        <v>1</v>
      </c>
      <c r="J134" s="5">
        <v>824000</v>
      </c>
      <c r="K134" s="5">
        <f>ROUND(IF(ISNUMBER(J134), I134*J134, I134),5)</f>
        <v>824000</v>
      </c>
    </row>
    <row r="135" spans="1:11" x14ac:dyDescent="0.3">
      <c r="A135" s="2" t="s">
        <v>11</v>
      </c>
      <c r="B135" s="3">
        <v>45810</v>
      </c>
      <c r="C135" s="2" t="s">
        <v>93</v>
      </c>
      <c r="D135" s="2" t="s">
        <v>362</v>
      </c>
      <c r="E135" s="2" t="s">
        <v>466</v>
      </c>
      <c r="F135" s="2" t="s">
        <v>540</v>
      </c>
      <c r="G135" s="2" t="s">
        <v>548</v>
      </c>
      <c r="H135" s="2" t="s">
        <v>553</v>
      </c>
      <c r="I135" s="4">
        <v>3</v>
      </c>
      <c r="J135" s="5">
        <v>99000</v>
      </c>
      <c r="K135" s="5">
        <f>ROUND(IF(ISNUMBER(J135), I135*J135, I135),5)</f>
        <v>297000</v>
      </c>
    </row>
    <row r="136" spans="1:11" x14ac:dyDescent="0.3">
      <c r="A136" s="2" t="s">
        <v>11</v>
      </c>
      <c r="B136" s="3">
        <v>45810</v>
      </c>
      <c r="C136" s="2" t="s">
        <v>93</v>
      </c>
      <c r="D136" s="2" t="s">
        <v>362</v>
      </c>
      <c r="E136" s="2" t="s">
        <v>454</v>
      </c>
      <c r="F136" s="2" t="s">
        <v>543</v>
      </c>
      <c r="G136" s="2" t="s">
        <v>548</v>
      </c>
      <c r="H136" s="2" t="s">
        <v>553</v>
      </c>
      <c r="I136" s="4">
        <v>1</v>
      </c>
      <c r="J136" s="5">
        <v>497000</v>
      </c>
      <c r="K136" s="5">
        <f>ROUND(IF(ISNUMBER(J136), I136*J136, I136),5)</f>
        <v>497000</v>
      </c>
    </row>
    <row r="137" spans="1:11" x14ac:dyDescent="0.3">
      <c r="A137" s="2" t="s">
        <v>11</v>
      </c>
      <c r="B137" s="3">
        <v>45810</v>
      </c>
      <c r="C137" s="2" t="s">
        <v>93</v>
      </c>
      <c r="D137" s="2" t="s">
        <v>362</v>
      </c>
      <c r="E137" s="2" t="s">
        <v>454</v>
      </c>
      <c r="F137" s="2" t="s">
        <v>543</v>
      </c>
      <c r="G137" s="2" t="s">
        <v>548</v>
      </c>
      <c r="H137" s="2" t="s">
        <v>553</v>
      </c>
      <c r="I137" s="4">
        <v>2</v>
      </c>
      <c r="J137" s="5">
        <v>320000</v>
      </c>
      <c r="K137" s="5">
        <f>ROUND(IF(ISNUMBER(J137), I137*J137, I137),5)</f>
        <v>640000</v>
      </c>
    </row>
    <row r="138" spans="1:11" x14ac:dyDescent="0.3">
      <c r="A138" s="2" t="s">
        <v>11</v>
      </c>
      <c r="B138" s="3">
        <v>45810</v>
      </c>
      <c r="C138" s="2" t="s">
        <v>93</v>
      </c>
      <c r="D138" s="2" t="s">
        <v>362</v>
      </c>
      <c r="E138" s="2" t="s">
        <v>483</v>
      </c>
      <c r="F138" s="2" t="s">
        <v>519</v>
      </c>
      <c r="G138" s="2" t="s">
        <v>548</v>
      </c>
      <c r="H138" s="2" t="s">
        <v>553</v>
      </c>
      <c r="I138" s="4">
        <v>1</v>
      </c>
      <c r="J138" s="5"/>
      <c r="K138" s="5"/>
    </row>
    <row r="139" spans="1:11" x14ac:dyDescent="0.3">
      <c r="A139" s="2" t="s">
        <v>11</v>
      </c>
      <c r="B139" s="3">
        <v>45810</v>
      </c>
      <c r="C139" s="2" t="s">
        <v>93</v>
      </c>
      <c r="D139" s="2" t="s">
        <v>362</v>
      </c>
      <c r="E139" s="2" t="s">
        <v>472</v>
      </c>
      <c r="F139" s="2" t="s">
        <v>544</v>
      </c>
      <c r="G139" s="2" t="s">
        <v>548</v>
      </c>
      <c r="H139" s="2" t="s">
        <v>553</v>
      </c>
      <c r="I139" s="4">
        <v>1</v>
      </c>
      <c r="J139" s="5">
        <v>180000</v>
      </c>
      <c r="K139" s="5">
        <f>ROUND(IF(ISNUMBER(J139), I139*J139, I139),5)</f>
        <v>180000</v>
      </c>
    </row>
    <row r="140" spans="1:11" x14ac:dyDescent="0.3">
      <c r="A140" s="2" t="s">
        <v>11</v>
      </c>
      <c r="B140" s="3">
        <v>45810</v>
      </c>
      <c r="C140" s="2" t="s">
        <v>94</v>
      </c>
      <c r="D140" s="2" t="s">
        <v>341</v>
      </c>
      <c r="E140" s="2" t="s">
        <v>457</v>
      </c>
      <c r="F140" s="2" t="s">
        <v>542</v>
      </c>
      <c r="G140" s="2" t="s">
        <v>550</v>
      </c>
      <c r="H140" s="2" t="s">
        <v>554</v>
      </c>
      <c r="I140" s="4">
        <v>1</v>
      </c>
      <c r="J140" s="5">
        <v>24200</v>
      </c>
      <c r="K140" s="5">
        <f>ROUND(IF(ISNUMBER(J140), I140*J140, I140),5)</f>
        <v>24200</v>
      </c>
    </row>
    <row r="141" spans="1:11" x14ac:dyDescent="0.3">
      <c r="A141" s="2" t="s">
        <v>11</v>
      </c>
      <c r="B141" s="3">
        <v>45810</v>
      </c>
      <c r="C141" s="2" t="s">
        <v>94</v>
      </c>
      <c r="D141" s="2" t="s">
        <v>341</v>
      </c>
      <c r="E141" s="2" t="s">
        <v>487</v>
      </c>
      <c r="F141" s="2" t="s">
        <v>542</v>
      </c>
      <c r="G141" s="2" t="s">
        <v>550</v>
      </c>
      <c r="H141" s="2" t="s">
        <v>554</v>
      </c>
      <c r="I141" s="4">
        <v>4</v>
      </c>
      <c r="J141" s="5">
        <v>24190</v>
      </c>
      <c r="K141" s="5">
        <f>ROUND(IF(ISNUMBER(J141), I141*J141, I141),5)</f>
        <v>96760</v>
      </c>
    </row>
    <row r="142" spans="1:11" x14ac:dyDescent="0.3">
      <c r="A142" s="2" t="s">
        <v>11</v>
      </c>
      <c r="B142" s="3">
        <v>45810</v>
      </c>
      <c r="C142" s="2" t="s">
        <v>95</v>
      </c>
      <c r="D142" s="2" t="s">
        <v>363</v>
      </c>
      <c r="E142" s="2" t="s">
        <v>472</v>
      </c>
      <c r="F142" s="2" t="s">
        <v>544</v>
      </c>
      <c r="G142" s="2" t="s">
        <v>551</v>
      </c>
      <c r="H142" s="2" t="s">
        <v>554</v>
      </c>
      <c r="I142" s="4">
        <v>1</v>
      </c>
      <c r="J142" s="5">
        <v>2000</v>
      </c>
      <c r="K142" s="5">
        <f>ROUND(IF(ISNUMBER(J142), I142*J142, I142),5)</f>
        <v>2000</v>
      </c>
    </row>
    <row r="143" spans="1:11" x14ac:dyDescent="0.3">
      <c r="A143" s="2" t="s">
        <v>11</v>
      </c>
      <c r="B143" s="3">
        <v>45811</v>
      </c>
      <c r="C143" s="2" t="s">
        <v>96</v>
      </c>
      <c r="D143" s="2" t="s">
        <v>312</v>
      </c>
      <c r="E143" s="2" t="s">
        <v>459</v>
      </c>
      <c r="F143" s="2" t="s">
        <v>519</v>
      </c>
      <c r="G143" s="2" t="s">
        <v>548</v>
      </c>
      <c r="H143" s="2" t="s">
        <v>553</v>
      </c>
      <c r="I143" s="4">
        <v>1</v>
      </c>
      <c r="J143" s="5">
        <v>663000</v>
      </c>
      <c r="K143" s="5">
        <f>ROUND(IF(ISNUMBER(J143), I143*J143, I143),5)</f>
        <v>663000</v>
      </c>
    </row>
    <row r="144" spans="1:11" x14ac:dyDescent="0.3">
      <c r="A144" s="2" t="s">
        <v>11</v>
      </c>
      <c r="B144" s="3">
        <v>45811</v>
      </c>
      <c r="C144" s="2" t="s">
        <v>96</v>
      </c>
      <c r="D144" s="2" t="s">
        <v>312</v>
      </c>
      <c r="E144" s="2" t="s">
        <v>482</v>
      </c>
      <c r="F144" s="2" t="s">
        <v>540</v>
      </c>
      <c r="G144" s="2" t="s">
        <v>548</v>
      </c>
      <c r="H144" s="2" t="s">
        <v>553</v>
      </c>
      <c r="I144" s="4">
        <v>5</v>
      </c>
      <c r="J144" s="5">
        <v>116000</v>
      </c>
      <c r="K144" s="5">
        <f>ROUND(IF(ISNUMBER(J144), I144*J144, I144),5)</f>
        <v>580000</v>
      </c>
    </row>
    <row r="145" spans="1:11" x14ac:dyDescent="0.3">
      <c r="A145" s="2" t="s">
        <v>11</v>
      </c>
      <c r="B145" s="3">
        <v>45811</v>
      </c>
      <c r="C145" s="2" t="s">
        <v>96</v>
      </c>
      <c r="D145" s="2" t="s">
        <v>312</v>
      </c>
      <c r="E145" s="2" t="s">
        <v>460</v>
      </c>
      <c r="F145" s="2" t="s">
        <v>519</v>
      </c>
      <c r="G145" s="2" t="s">
        <v>548</v>
      </c>
      <c r="H145" s="2" t="s">
        <v>553</v>
      </c>
      <c r="I145" s="4">
        <v>1</v>
      </c>
      <c r="J145" s="5"/>
      <c r="K145" s="5"/>
    </row>
    <row r="146" spans="1:11" x14ac:dyDescent="0.3">
      <c r="A146" s="2" t="s">
        <v>11</v>
      </c>
      <c r="B146" s="3">
        <v>45814</v>
      </c>
      <c r="C146" s="2" t="s">
        <v>97</v>
      </c>
      <c r="D146" s="2" t="s">
        <v>327</v>
      </c>
      <c r="E146" s="2" t="s">
        <v>465</v>
      </c>
      <c r="F146" s="2" t="s">
        <v>544</v>
      </c>
      <c r="G146" s="2" t="s">
        <v>549</v>
      </c>
      <c r="H146" s="2" t="s">
        <v>554</v>
      </c>
      <c r="I146" s="4">
        <v>1</v>
      </c>
      <c r="J146" s="5"/>
      <c r="K146" s="5"/>
    </row>
    <row r="147" spans="1:11" x14ac:dyDescent="0.3">
      <c r="A147" s="2" t="s">
        <v>11</v>
      </c>
      <c r="B147" s="3">
        <v>45814</v>
      </c>
      <c r="C147" s="2" t="s">
        <v>97</v>
      </c>
      <c r="D147" s="2" t="s">
        <v>327</v>
      </c>
      <c r="E147" s="2" t="s">
        <v>465</v>
      </c>
      <c r="F147" s="2" t="s">
        <v>544</v>
      </c>
      <c r="G147" s="2" t="s">
        <v>549</v>
      </c>
      <c r="H147" s="2" t="s">
        <v>553</v>
      </c>
      <c r="I147" s="4">
        <v>1</v>
      </c>
      <c r="J147" s="5">
        <v>202608</v>
      </c>
      <c r="K147" s="5">
        <f>ROUND(IF(ISNUMBER(J147), I147*J147, I147),5)</f>
        <v>202608</v>
      </c>
    </row>
    <row r="148" spans="1:11" x14ac:dyDescent="0.3">
      <c r="A148" s="2" t="s">
        <v>11</v>
      </c>
      <c r="B148" s="3">
        <v>45814</v>
      </c>
      <c r="C148" s="2" t="s">
        <v>97</v>
      </c>
      <c r="D148" s="2" t="s">
        <v>327</v>
      </c>
      <c r="E148" s="2" t="s">
        <v>465</v>
      </c>
      <c r="F148" s="2" t="s">
        <v>544</v>
      </c>
      <c r="G148" s="2" t="s">
        <v>549</v>
      </c>
      <c r="H148" s="2" t="s">
        <v>553</v>
      </c>
      <c r="I148" s="4">
        <v>1</v>
      </c>
      <c r="J148" s="5">
        <v>202608</v>
      </c>
      <c r="K148" s="5">
        <f>ROUND(IF(ISNUMBER(J148), I148*J148, I148),5)</f>
        <v>202608</v>
      </c>
    </row>
    <row r="149" spans="1:11" x14ac:dyDescent="0.3">
      <c r="A149" s="2" t="s">
        <v>11</v>
      </c>
      <c r="B149" s="3">
        <v>45814</v>
      </c>
      <c r="C149" s="2" t="s">
        <v>97</v>
      </c>
      <c r="D149" s="2" t="s">
        <v>327</v>
      </c>
      <c r="E149" s="2" t="s">
        <v>465</v>
      </c>
      <c r="F149" s="2" t="s">
        <v>544</v>
      </c>
      <c r="G149" s="2" t="s">
        <v>549</v>
      </c>
      <c r="H149" s="2" t="s">
        <v>553</v>
      </c>
      <c r="I149" s="4">
        <v>1</v>
      </c>
      <c r="J149" s="5">
        <v>202608</v>
      </c>
      <c r="K149" s="5">
        <f>ROUND(IF(ISNUMBER(J149), I149*J149, I149),5)</f>
        <v>202608</v>
      </c>
    </row>
    <row r="150" spans="1:11" x14ac:dyDescent="0.3">
      <c r="A150" s="2" t="s">
        <v>11</v>
      </c>
      <c r="B150" s="3">
        <v>45814</v>
      </c>
      <c r="C150" s="2" t="s">
        <v>98</v>
      </c>
      <c r="D150" s="2" t="s">
        <v>316</v>
      </c>
      <c r="E150" s="2" t="s">
        <v>449</v>
      </c>
      <c r="F150" s="2" t="s">
        <v>450</v>
      </c>
      <c r="G150" s="2" t="s">
        <v>551</v>
      </c>
      <c r="H150" s="2" t="s">
        <v>553</v>
      </c>
      <c r="I150" s="4">
        <v>1</v>
      </c>
      <c r="J150" s="5">
        <v>39000</v>
      </c>
      <c r="K150" s="5">
        <f>ROUND(IF(ISNUMBER(J150), I150*J150, I150),5)</f>
        <v>39000</v>
      </c>
    </row>
    <row r="151" spans="1:11" x14ac:dyDescent="0.3">
      <c r="A151" s="2" t="s">
        <v>11</v>
      </c>
      <c r="B151" s="3">
        <v>45814</v>
      </c>
      <c r="C151" s="2" t="s">
        <v>98</v>
      </c>
      <c r="D151" s="2" t="s">
        <v>316</v>
      </c>
      <c r="E151" s="2" t="s">
        <v>450</v>
      </c>
      <c r="F151" s="2" t="s">
        <v>450</v>
      </c>
      <c r="G151" s="2" t="s">
        <v>551</v>
      </c>
      <c r="H151" s="2" t="s">
        <v>553</v>
      </c>
      <c r="I151" s="4">
        <v>1</v>
      </c>
      <c r="J151" s="5">
        <v>20000</v>
      </c>
      <c r="K151" s="5">
        <f>ROUND(IF(ISNUMBER(J151), I151*J151, I151),5)</f>
        <v>20000</v>
      </c>
    </row>
    <row r="152" spans="1:11" x14ac:dyDescent="0.3">
      <c r="A152" s="2" t="s">
        <v>11</v>
      </c>
      <c r="B152" s="3">
        <v>45814</v>
      </c>
      <c r="C152" s="2" t="s">
        <v>99</v>
      </c>
      <c r="D152" s="2" t="s">
        <v>330</v>
      </c>
      <c r="E152" s="2" t="s">
        <v>462</v>
      </c>
      <c r="F152" s="2" t="s">
        <v>519</v>
      </c>
      <c r="G152" s="2" t="s">
        <v>549</v>
      </c>
      <c r="H152" s="2" t="s">
        <v>553</v>
      </c>
      <c r="I152" s="4">
        <v>1</v>
      </c>
      <c r="J152" s="5">
        <v>114000</v>
      </c>
      <c r="K152" s="5">
        <f>ROUND(IF(ISNUMBER(J152), I152*J152, I152),5)</f>
        <v>114000</v>
      </c>
    </row>
    <row r="153" spans="1:11" x14ac:dyDescent="0.3">
      <c r="A153" s="2" t="s">
        <v>11</v>
      </c>
      <c r="B153" s="3">
        <v>45814</v>
      </c>
      <c r="C153" s="2" t="s">
        <v>100</v>
      </c>
      <c r="D153" s="2" t="s">
        <v>313</v>
      </c>
      <c r="E153" s="2" t="s">
        <v>457</v>
      </c>
      <c r="F153" s="2" t="s">
        <v>542</v>
      </c>
      <c r="G153" s="2" t="s">
        <v>550</v>
      </c>
      <c r="H153" s="2" t="s">
        <v>553</v>
      </c>
      <c r="I153" s="4">
        <v>2</v>
      </c>
      <c r="J153" s="5">
        <v>19800</v>
      </c>
      <c r="K153" s="5">
        <f>ROUND(IF(ISNUMBER(J153), I153*J153, I153),5)</f>
        <v>39600</v>
      </c>
    </row>
    <row r="154" spans="1:11" x14ac:dyDescent="0.3">
      <c r="A154" s="2" t="s">
        <v>11</v>
      </c>
      <c r="B154" s="3">
        <v>45814</v>
      </c>
      <c r="C154" s="2" t="s">
        <v>101</v>
      </c>
      <c r="D154" s="2" t="s">
        <v>343</v>
      </c>
      <c r="E154" s="2" t="s">
        <v>501</v>
      </c>
      <c r="F154" s="2" t="s">
        <v>542</v>
      </c>
      <c r="G154" s="2" t="s">
        <v>551</v>
      </c>
      <c r="H154" s="2" t="s">
        <v>553</v>
      </c>
      <c r="I154" s="4">
        <v>1</v>
      </c>
      <c r="J154" s="5">
        <v>60000</v>
      </c>
      <c r="K154" s="5">
        <f>ROUND(IF(ISNUMBER(J154), I154*J154, I154),5)</f>
        <v>60000</v>
      </c>
    </row>
    <row r="155" spans="1:11" x14ac:dyDescent="0.3">
      <c r="A155" s="2" t="s">
        <v>11</v>
      </c>
      <c r="B155" s="3">
        <v>45814</v>
      </c>
      <c r="C155" s="2" t="s">
        <v>102</v>
      </c>
      <c r="D155" s="2" t="s">
        <v>348</v>
      </c>
      <c r="E155" s="2" t="s">
        <v>502</v>
      </c>
      <c r="F155" s="2" t="s">
        <v>542</v>
      </c>
      <c r="G155" s="2" t="s">
        <v>551</v>
      </c>
      <c r="H155" s="2" t="s">
        <v>553</v>
      </c>
      <c r="I155" s="4">
        <v>1</v>
      </c>
      <c r="J155" s="5">
        <v>64000</v>
      </c>
      <c r="K155" s="5">
        <f>ROUND(IF(ISNUMBER(J155), I155*J155, I155),5)</f>
        <v>64000</v>
      </c>
    </row>
    <row r="156" spans="1:11" x14ac:dyDescent="0.3">
      <c r="A156" s="2" t="s">
        <v>11</v>
      </c>
      <c r="B156" s="3">
        <v>45819</v>
      </c>
      <c r="C156" s="2" t="s">
        <v>103</v>
      </c>
      <c r="D156" s="2" t="s">
        <v>332</v>
      </c>
      <c r="E156" s="2" t="s">
        <v>442</v>
      </c>
      <c r="F156" s="2" t="s">
        <v>540</v>
      </c>
      <c r="G156" s="2" t="s">
        <v>548</v>
      </c>
      <c r="H156" s="2" t="s">
        <v>553</v>
      </c>
      <c r="I156" s="4">
        <v>2</v>
      </c>
      <c r="J156" s="5">
        <v>44000</v>
      </c>
      <c r="K156" s="5">
        <f>ROUND(IF(ISNUMBER(J156), I156*J156, I156),5)</f>
        <v>88000</v>
      </c>
    </row>
    <row r="157" spans="1:11" x14ac:dyDescent="0.3">
      <c r="A157" s="2" t="s">
        <v>11</v>
      </c>
      <c r="B157" s="3">
        <v>45819</v>
      </c>
      <c r="C157" s="2" t="s">
        <v>104</v>
      </c>
      <c r="D157" s="2" t="s">
        <v>312</v>
      </c>
      <c r="E157" s="2" t="s">
        <v>446</v>
      </c>
      <c r="F157" s="2" t="s">
        <v>519</v>
      </c>
      <c r="G157" s="2" t="s">
        <v>548</v>
      </c>
      <c r="H157" s="2" t="s">
        <v>553</v>
      </c>
      <c r="I157" s="4">
        <v>1</v>
      </c>
      <c r="J157" s="5">
        <v>62000</v>
      </c>
      <c r="K157" s="5">
        <f>ROUND(IF(ISNUMBER(J157), I157*J157, I157),5)</f>
        <v>62000</v>
      </c>
    </row>
    <row r="158" spans="1:11" x14ac:dyDescent="0.3">
      <c r="A158" s="2" t="s">
        <v>11</v>
      </c>
      <c r="B158" s="3">
        <v>45819</v>
      </c>
      <c r="C158" s="2" t="s">
        <v>104</v>
      </c>
      <c r="D158" s="2" t="s">
        <v>312</v>
      </c>
      <c r="E158" s="2" t="s">
        <v>442</v>
      </c>
      <c r="F158" s="2" t="s">
        <v>540</v>
      </c>
      <c r="G158" s="2" t="s">
        <v>548</v>
      </c>
      <c r="H158" s="2" t="s">
        <v>553</v>
      </c>
      <c r="I158" s="4">
        <v>2</v>
      </c>
      <c r="J158" s="5">
        <v>40000</v>
      </c>
      <c r="K158" s="5">
        <f>ROUND(IF(ISNUMBER(J158), I158*J158, I158),5)</f>
        <v>80000</v>
      </c>
    </row>
    <row r="159" spans="1:11" x14ac:dyDescent="0.3">
      <c r="A159" s="2" t="s">
        <v>11</v>
      </c>
      <c r="B159" s="3">
        <v>45820</v>
      </c>
      <c r="C159" s="2" t="s">
        <v>105</v>
      </c>
      <c r="D159" s="2" t="s">
        <v>364</v>
      </c>
      <c r="E159" s="2" t="s">
        <v>503</v>
      </c>
      <c r="F159" s="2" t="s">
        <v>503</v>
      </c>
      <c r="G159" s="2" t="s">
        <v>549</v>
      </c>
      <c r="H159" s="2" t="s">
        <v>553</v>
      </c>
      <c r="I159" s="4">
        <v>112</v>
      </c>
      <c r="J159" s="5">
        <v>2500</v>
      </c>
      <c r="K159" s="5">
        <f>ROUND(IF(ISNUMBER(J159), I159*J159, I159),5)</f>
        <v>280000</v>
      </c>
    </row>
    <row r="160" spans="1:11" x14ac:dyDescent="0.3">
      <c r="A160" s="2" t="s">
        <v>11</v>
      </c>
      <c r="B160" s="3">
        <v>45820</v>
      </c>
      <c r="C160" s="2" t="s">
        <v>105</v>
      </c>
      <c r="D160" s="2" t="s">
        <v>364</v>
      </c>
      <c r="E160" s="2" t="s">
        <v>476</v>
      </c>
      <c r="F160" s="2" t="s">
        <v>546</v>
      </c>
      <c r="G160" s="2" t="s">
        <v>549</v>
      </c>
      <c r="H160" s="2" t="s">
        <v>553</v>
      </c>
      <c r="I160" s="4">
        <v>1</v>
      </c>
      <c r="J160" s="5">
        <v>51200</v>
      </c>
      <c r="K160" s="5">
        <f>ROUND(IF(ISNUMBER(J160), I160*J160, I160),5)</f>
        <v>51200</v>
      </c>
    </row>
    <row r="161" spans="1:11" x14ac:dyDescent="0.3">
      <c r="A161" s="2" t="s">
        <v>11</v>
      </c>
      <c r="B161" s="3">
        <v>45820</v>
      </c>
      <c r="C161" s="2" t="s">
        <v>106</v>
      </c>
      <c r="D161" s="2" t="s">
        <v>365</v>
      </c>
      <c r="E161" s="2" t="s">
        <v>457</v>
      </c>
      <c r="F161" s="2" t="s">
        <v>542</v>
      </c>
      <c r="G161" s="2" t="s">
        <v>550</v>
      </c>
      <c r="H161" s="2" t="s">
        <v>554</v>
      </c>
      <c r="I161" s="4">
        <v>1</v>
      </c>
      <c r="J161" s="5">
        <v>23600</v>
      </c>
      <c r="K161" s="5">
        <f>ROUND(IF(ISNUMBER(J161), I161*J161, I161),5)</f>
        <v>23600</v>
      </c>
    </row>
    <row r="162" spans="1:11" x14ac:dyDescent="0.3">
      <c r="A162" s="2" t="s">
        <v>11</v>
      </c>
      <c r="B162" s="3">
        <v>45820</v>
      </c>
      <c r="C162" s="2" t="s">
        <v>106</v>
      </c>
      <c r="D162" s="2" t="s">
        <v>365</v>
      </c>
      <c r="E162" s="2" t="s">
        <v>504</v>
      </c>
      <c r="F162" s="2" t="s">
        <v>542</v>
      </c>
      <c r="G162" s="2" t="s">
        <v>550</v>
      </c>
      <c r="H162" s="2" t="s">
        <v>554</v>
      </c>
      <c r="I162" s="4">
        <v>1</v>
      </c>
      <c r="J162" s="5">
        <v>18800</v>
      </c>
      <c r="K162" s="5">
        <f>ROUND(IF(ISNUMBER(J162), I162*J162, I162),5)</f>
        <v>18800</v>
      </c>
    </row>
    <row r="163" spans="1:11" x14ac:dyDescent="0.3">
      <c r="A163" s="2" t="s">
        <v>11</v>
      </c>
      <c r="B163" s="3">
        <v>45820</v>
      </c>
      <c r="C163" s="2" t="s">
        <v>107</v>
      </c>
      <c r="D163" s="2" t="s">
        <v>366</v>
      </c>
      <c r="E163" s="2" t="s">
        <v>456</v>
      </c>
      <c r="F163" s="2" t="s">
        <v>542</v>
      </c>
      <c r="G163" s="2" t="s">
        <v>551</v>
      </c>
      <c r="H163" s="2" t="s">
        <v>553</v>
      </c>
      <c r="I163" s="4">
        <v>2</v>
      </c>
      <c r="J163" s="5">
        <v>14500</v>
      </c>
      <c r="K163" s="5">
        <f>ROUND(IF(ISNUMBER(J163), I163*J163, I163),5)</f>
        <v>29000</v>
      </c>
    </row>
    <row r="164" spans="1:11" x14ac:dyDescent="0.3">
      <c r="A164" s="2" t="s">
        <v>11</v>
      </c>
      <c r="B164" s="3">
        <v>45820</v>
      </c>
      <c r="C164" s="2" t="s">
        <v>107</v>
      </c>
      <c r="D164" s="2" t="s">
        <v>366</v>
      </c>
      <c r="E164" s="2" t="s">
        <v>504</v>
      </c>
      <c r="F164" s="2" t="s">
        <v>542</v>
      </c>
      <c r="G164" s="2" t="s">
        <v>551</v>
      </c>
      <c r="H164" s="2" t="s">
        <v>553</v>
      </c>
      <c r="I164" s="4">
        <v>1</v>
      </c>
      <c r="J164" s="5">
        <v>18000</v>
      </c>
      <c r="K164" s="5">
        <f>ROUND(IF(ISNUMBER(J164), I164*J164, I164),5)</f>
        <v>18000</v>
      </c>
    </row>
    <row r="165" spans="1:11" x14ac:dyDescent="0.3">
      <c r="A165" s="2" t="s">
        <v>11</v>
      </c>
      <c r="B165" s="3">
        <v>45821</v>
      </c>
      <c r="C165" s="2" t="s">
        <v>108</v>
      </c>
      <c r="D165" s="2" t="s">
        <v>367</v>
      </c>
      <c r="E165" s="2" t="s">
        <v>449</v>
      </c>
      <c r="F165" s="2" t="s">
        <v>450</v>
      </c>
      <c r="G165" s="2" t="s">
        <v>551</v>
      </c>
      <c r="H165" s="2" t="s">
        <v>553</v>
      </c>
      <c r="I165" s="4">
        <v>1</v>
      </c>
      <c r="J165" s="5">
        <v>43000</v>
      </c>
      <c r="K165" s="5">
        <f>ROUND(IF(ISNUMBER(J165), I165*J165, I165),5)</f>
        <v>43000</v>
      </c>
    </row>
    <row r="166" spans="1:11" x14ac:dyDescent="0.3">
      <c r="A166" s="2" t="s">
        <v>11</v>
      </c>
      <c r="B166" s="3">
        <v>45821</v>
      </c>
      <c r="C166" s="2" t="s">
        <v>108</v>
      </c>
      <c r="D166" s="2" t="s">
        <v>367</v>
      </c>
      <c r="E166" s="2" t="s">
        <v>472</v>
      </c>
      <c r="F166" s="2" t="s">
        <v>544</v>
      </c>
      <c r="G166" s="2" t="s">
        <v>551</v>
      </c>
      <c r="H166" s="2" t="s">
        <v>553</v>
      </c>
      <c r="I166" s="4">
        <v>1</v>
      </c>
      <c r="J166" s="5">
        <v>5000</v>
      </c>
      <c r="K166" s="5">
        <f>ROUND(IF(ISNUMBER(J166), I166*J166, I166),5)</f>
        <v>5000</v>
      </c>
    </row>
    <row r="167" spans="1:11" x14ac:dyDescent="0.3">
      <c r="A167" s="2" t="s">
        <v>11</v>
      </c>
      <c r="B167" s="3">
        <v>45821</v>
      </c>
      <c r="C167" s="2" t="s">
        <v>109</v>
      </c>
      <c r="D167" s="2" t="s">
        <v>313</v>
      </c>
      <c r="E167" s="2" t="s">
        <v>446</v>
      </c>
      <c r="F167" s="2" t="s">
        <v>519</v>
      </c>
      <c r="G167" s="2" t="s">
        <v>549</v>
      </c>
      <c r="H167" s="2" t="s">
        <v>553</v>
      </c>
      <c r="I167" s="4">
        <v>3</v>
      </c>
      <c r="J167" s="5">
        <v>64000</v>
      </c>
      <c r="K167" s="5">
        <f>ROUND(IF(ISNUMBER(J167), I167*J167, I167),5)</f>
        <v>192000</v>
      </c>
    </row>
    <row r="168" spans="1:11" x14ac:dyDescent="0.3">
      <c r="A168" s="2" t="s">
        <v>11</v>
      </c>
      <c r="B168" s="3">
        <v>45821</v>
      </c>
      <c r="C168" s="2" t="s">
        <v>110</v>
      </c>
      <c r="D168" s="2" t="s">
        <v>313</v>
      </c>
      <c r="E168" s="2" t="s">
        <v>456</v>
      </c>
      <c r="F168" s="2" t="s">
        <v>542</v>
      </c>
      <c r="G168" s="2" t="s">
        <v>550</v>
      </c>
      <c r="H168" s="2" t="s">
        <v>553</v>
      </c>
      <c r="I168" s="4">
        <v>1</v>
      </c>
      <c r="J168" s="5">
        <v>13500</v>
      </c>
      <c r="K168" s="5">
        <f>ROUND(IF(ISNUMBER(J168), I168*J168, I168),5)</f>
        <v>13500</v>
      </c>
    </row>
    <row r="169" spans="1:11" x14ac:dyDescent="0.3">
      <c r="A169" s="2" t="s">
        <v>11</v>
      </c>
      <c r="B169" s="3">
        <v>45821</v>
      </c>
      <c r="C169" s="2" t="s">
        <v>111</v>
      </c>
      <c r="D169" s="2" t="s">
        <v>368</v>
      </c>
      <c r="E169" s="2" t="s">
        <v>490</v>
      </c>
      <c r="F169" s="2" t="s">
        <v>542</v>
      </c>
      <c r="G169" s="2" t="s">
        <v>550</v>
      </c>
      <c r="H169" s="2" t="s">
        <v>554</v>
      </c>
      <c r="I169" s="4">
        <v>2</v>
      </c>
      <c r="J169" s="5">
        <v>6000</v>
      </c>
      <c r="K169" s="5">
        <f>ROUND(IF(ISNUMBER(J169), I169*J169, I169),5)</f>
        <v>12000</v>
      </c>
    </row>
    <row r="170" spans="1:11" x14ac:dyDescent="0.3">
      <c r="A170" s="2" t="s">
        <v>11</v>
      </c>
      <c r="B170" s="3">
        <v>45824</v>
      </c>
      <c r="C170" s="2" t="s">
        <v>112</v>
      </c>
      <c r="D170" s="2" t="s">
        <v>334</v>
      </c>
      <c r="E170" s="2" t="s">
        <v>471</v>
      </c>
      <c r="F170" s="2" t="s">
        <v>544</v>
      </c>
      <c r="G170" s="2" t="s">
        <v>549</v>
      </c>
      <c r="H170" s="2" t="s">
        <v>553</v>
      </c>
      <c r="I170" s="4">
        <v>1</v>
      </c>
      <c r="J170" s="4">
        <v>3030</v>
      </c>
      <c r="K170" s="5">
        <f>ROUND(IF(ISNUMBER(J170), I170*J170, I170),5)</f>
        <v>3030</v>
      </c>
    </row>
    <row r="171" spans="1:11" x14ac:dyDescent="0.3">
      <c r="A171" s="2" t="s">
        <v>11</v>
      </c>
      <c r="B171" s="3">
        <v>45824</v>
      </c>
      <c r="C171" s="2" t="s">
        <v>113</v>
      </c>
      <c r="D171" s="2" t="s">
        <v>335</v>
      </c>
      <c r="E171" s="2" t="s">
        <v>472</v>
      </c>
      <c r="F171" s="2" t="s">
        <v>544</v>
      </c>
      <c r="G171" s="2" t="s">
        <v>549</v>
      </c>
      <c r="H171" s="2" t="s">
        <v>553</v>
      </c>
      <c r="I171" s="4">
        <v>1</v>
      </c>
      <c r="J171" s="5">
        <v>6732.66</v>
      </c>
      <c r="K171" s="5">
        <f>ROUND(IF(ISNUMBER(J171), I171*J171, I171),5)</f>
        <v>6732.66</v>
      </c>
    </row>
    <row r="172" spans="1:11" x14ac:dyDescent="0.3">
      <c r="A172" s="2" t="s">
        <v>11</v>
      </c>
      <c r="B172" s="3">
        <v>45824</v>
      </c>
      <c r="C172" s="2" t="s">
        <v>114</v>
      </c>
      <c r="D172" s="2" t="s">
        <v>335</v>
      </c>
      <c r="E172" s="2" t="s">
        <v>473</v>
      </c>
      <c r="F172" s="2" t="s">
        <v>544</v>
      </c>
      <c r="G172" s="2" t="s">
        <v>549</v>
      </c>
      <c r="H172" s="2" t="s">
        <v>553</v>
      </c>
      <c r="I172" s="4">
        <v>1</v>
      </c>
      <c r="J172" s="5">
        <v>18473.91</v>
      </c>
      <c r="K172" s="5">
        <f>ROUND(IF(ISNUMBER(J172), I172*J172, I172),5)</f>
        <v>18473.91</v>
      </c>
    </row>
    <row r="173" spans="1:11" x14ac:dyDescent="0.3">
      <c r="A173" s="2" t="s">
        <v>11</v>
      </c>
      <c r="B173" s="3">
        <v>45824</v>
      </c>
      <c r="C173" s="2" t="s">
        <v>115</v>
      </c>
      <c r="D173" s="2" t="s">
        <v>336</v>
      </c>
      <c r="E173" s="2" t="s">
        <v>473</v>
      </c>
      <c r="F173" s="2" t="s">
        <v>544</v>
      </c>
      <c r="G173" s="2" t="s">
        <v>549</v>
      </c>
      <c r="H173" s="2" t="s">
        <v>553</v>
      </c>
      <c r="I173" s="4">
        <v>1</v>
      </c>
      <c r="J173" s="5">
        <v>15150</v>
      </c>
      <c r="K173" s="5">
        <f>ROUND(IF(ISNUMBER(J173), I173*J173, I173),5)</f>
        <v>15150</v>
      </c>
    </row>
    <row r="174" spans="1:11" x14ac:dyDescent="0.3">
      <c r="A174" s="2" t="s">
        <v>11</v>
      </c>
      <c r="B174" s="3">
        <v>45824</v>
      </c>
      <c r="C174" s="2" t="s">
        <v>116</v>
      </c>
      <c r="D174" s="2" t="s">
        <v>369</v>
      </c>
      <c r="E174" s="2" t="s">
        <v>474</v>
      </c>
      <c r="F174" s="2" t="s">
        <v>542</v>
      </c>
      <c r="G174" s="2" t="s">
        <v>550</v>
      </c>
      <c r="H174" s="2" t="s">
        <v>554</v>
      </c>
      <c r="I174" s="4">
        <v>1</v>
      </c>
      <c r="J174" s="5">
        <v>6100</v>
      </c>
      <c r="K174" s="5">
        <f>ROUND(IF(ISNUMBER(J174), I174*J174, I174),5)</f>
        <v>6100</v>
      </c>
    </row>
    <row r="175" spans="1:11" x14ac:dyDescent="0.3">
      <c r="A175" s="2" t="s">
        <v>11</v>
      </c>
      <c r="B175" s="3">
        <v>45824</v>
      </c>
      <c r="C175" s="2" t="s">
        <v>116</v>
      </c>
      <c r="D175" s="2" t="s">
        <v>369</v>
      </c>
      <c r="E175" s="2" t="s">
        <v>480</v>
      </c>
      <c r="F175" s="2" t="s">
        <v>542</v>
      </c>
      <c r="G175" s="2" t="s">
        <v>550</v>
      </c>
      <c r="H175" s="2" t="s">
        <v>554</v>
      </c>
      <c r="I175" s="4">
        <v>1</v>
      </c>
      <c r="J175" s="5">
        <v>8150</v>
      </c>
      <c r="K175" s="5">
        <f>ROUND(IF(ISNUMBER(J175), I175*J175, I175),5)</f>
        <v>8150</v>
      </c>
    </row>
    <row r="176" spans="1:11" x14ac:dyDescent="0.3">
      <c r="A176" s="2" t="s">
        <v>11</v>
      </c>
      <c r="B176" s="3">
        <v>45824</v>
      </c>
      <c r="C176" s="2" t="s">
        <v>116</v>
      </c>
      <c r="D176" s="2" t="s">
        <v>369</v>
      </c>
      <c r="E176" s="2" t="s">
        <v>487</v>
      </c>
      <c r="F176" s="2" t="s">
        <v>542</v>
      </c>
      <c r="G176" s="2" t="s">
        <v>550</v>
      </c>
      <c r="H176" s="2" t="s">
        <v>554</v>
      </c>
      <c r="I176" s="4">
        <v>1</v>
      </c>
      <c r="J176" s="5">
        <v>23750</v>
      </c>
      <c r="K176" s="5">
        <f>ROUND(IF(ISNUMBER(J176), I176*J176, I176),5)</f>
        <v>23750</v>
      </c>
    </row>
    <row r="177" spans="1:11" x14ac:dyDescent="0.3">
      <c r="A177" s="2" t="s">
        <v>11</v>
      </c>
      <c r="B177" s="3">
        <v>45825</v>
      </c>
      <c r="C177" s="2" t="s">
        <v>117</v>
      </c>
      <c r="D177" s="2" t="s">
        <v>370</v>
      </c>
      <c r="E177" s="2" t="s">
        <v>505</v>
      </c>
      <c r="F177" s="2" t="s">
        <v>519</v>
      </c>
      <c r="G177" s="2" t="s">
        <v>551</v>
      </c>
      <c r="H177" s="2" t="s">
        <v>553</v>
      </c>
      <c r="I177" s="4">
        <v>1</v>
      </c>
      <c r="J177" s="5">
        <v>507000</v>
      </c>
      <c r="K177" s="5">
        <f>ROUND(IF(ISNUMBER(J177), I177*J177, I177),5)</f>
        <v>507000</v>
      </c>
    </row>
    <row r="178" spans="1:11" x14ac:dyDescent="0.3">
      <c r="A178" s="2" t="s">
        <v>11</v>
      </c>
      <c r="B178" s="3">
        <v>45825</v>
      </c>
      <c r="C178" s="2" t="s">
        <v>117</v>
      </c>
      <c r="D178" s="2" t="s">
        <v>370</v>
      </c>
      <c r="E178" s="2" t="s">
        <v>451</v>
      </c>
      <c r="F178" s="2" t="s">
        <v>540</v>
      </c>
      <c r="G178" s="2" t="s">
        <v>551</v>
      </c>
      <c r="H178" s="2" t="s">
        <v>553</v>
      </c>
      <c r="I178" s="4">
        <v>6</v>
      </c>
      <c r="J178" s="5">
        <v>121000</v>
      </c>
      <c r="K178" s="5">
        <f>ROUND(IF(ISNUMBER(J178), I178*J178, I178),5)</f>
        <v>726000</v>
      </c>
    </row>
    <row r="179" spans="1:11" x14ac:dyDescent="0.3">
      <c r="A179" s="2" t="s">
        <v>11</v>
      </c>
      <c r="B179" s="3">
        <v>45825</v>
      </c>
      <c r="C179" s="2" t="s">
        <v>117</v>
      </c>
      <c r="D179" s="2" t="s">
        <v>370</v>
      </c>
      <c r="E179" s="2" t="s">
        <v>468</v>
      </c>
      <c r="F179" s="2" t="s">
        <v>519</v>
      </c>
      <c r="G179" s="2" t="s">
        <v>551</v>
      </c>
      <c r="H179" s="2" t="s">
        <v>553</v>
      </c>
      <c r="I179" s="4">
        <v>1</v>
      </c>
      <c r="J179" s="5"/>
      <c r="K179" s="5"/>
    </row>
    <row r="180" spans="1:11" x14ac:dyDescent="0.3">
      <c r="A180" s="2" t="s">
        <v>11</v>
      </c>
      <c r="B180" s="3">
        <v>45825</v>
      </c>
      <c r="C180" s="2" t="s">
        <v>118</v>
      </c>
      <c r="D180" s="2" t="s">
        <v>371</v>
      </c>
      <c r="E180" s="2" t="s">
        <v>478</v>
      </c>
      <c r="F180" s="2" t="s">
        <v>519</v>
      </c>
      <c r="G180" s="2" t="s">
        <v>551</v>
      </c>
      <c r="H180" s="2" t="s">
        <v>554</v>
      </c>
      <c r="I180" s="4">
        <v>1</v>
      </c>
      <c r="J180" s="5">
        <v>162000</v>
      </c>
      <c r="K180" s="5">
        <f>ROUND(IF(ISNUMBER(J180), I180*J180, I180),5)</f>
        <v>162000</v>
      </c>
    </row>
    <row r="181" spans="1:11" x14ac:dyDescent="0.3">
      <c r="A181" s="2" t="s">
        <v>11</v>
      </c>
      <c r="B181" s="3">
        <v>45825</v>
      </c>
      <c r="C181" s="2" t="s">
        <v>118</v>
      </c>
      <c r="D181" s="2" t="s">
        <v>371</v>
      </c>
      <c r="E181" s="2" t="s">
        <v>442</v>
      </c>
      <c r="F181" s="2" t="s">
        <v>540</v>
      </c>
      <c r="G181" s="2" t="s">
        <v>551</v>
      </c>
      <c r="H181" s="2" t="s">
        <v>554</v>
      </c>
      <c r="I181" s="4">
        <v>4</v>
      </c>
      <c r="J181" s="5">
        <v>59000</v>
      </c>
      <c r="K181" s="5">
        <f>ROUND(IF(ISNUMBER(J181), I181*J181, I181),5)</f>
        <v>236000</v>
      </c>
    </row>
    <row r="182" spans="1:11" x14ac:dyDescent="0.3">
      <c r="A182" s="2" t="s">
        <v>11</v>
      </c>
      <c r="B182" s="3">
        <v>45825</v>
      </c>
      <c r="C182" s="2" t="s">
        <v>119</v>
      </c>
      <c r="D182" s="2" t="s">
        <v>372</v>
      </c>
      <c r="E182" s="2" t="s">
        <v>506</v>
      </c>
      <c r="F182" s="2" t="s">
        <v>519</v>
      </c>
      <c r="G182" s="2" t="s">
        <v>548</v>
      </c>
      <c r="H182" s="2" t="s">
        <v>553</v>
      </c>
      <c r="I182" s="4">
        <v>1</v>
      </c>
      <c r="J182" s="5">
        <v>417400</v>
      </c>
      <c r="K182" s="5">
        <f>ROUND(IF(ISNUMBER(J182), I182*J182, I182),5)</f>
        <v>417400</v>
      </c>
    </row>
    <row r="183" spans="1:11" x14ac:dyDescent="0.3">
      <c r="A183" s="2" t="s">
        <v>11</v>
      </c>
      <c r="B183" s="3">
        <v>45825</v>
      </c>
      <c r="C183" s="2" t="s">
        <v>119</v>
      </c>
      <c r="D183" s="2" t="s">
        <v>372</v>
      </c>
      <c r="E183" s="2" t="s">
        <v>466</v>
      </c>
      <c r="F183" s="2" t="s">
        <v>540</v>
      </c>
      <c r="G183" s="2" t="s">
        <v>548</v>
      </c>
      <c r="H183" s="2" t="s">
        <v>553</v>
      </c>
      <c r="I183" s="4">
        <v>4</v>
      </c>
      <c r="J183" s="5">
        <v>99400</v>
      </c>
      <c r="K183" s="5">
        <f>ROUND(IF(ISNUMBER(J183), I183*J183, I183),5)</f>
        <v>397600</v>
      </c>
    </row>
    <row r="184" spans="1:11" x14ac:dyDescent="0.3">
      <c r="A184" s="2" t="s">
        <v>11</v>
      </c>
      <c r="B184" s="3">
        <v>45825</v>
      </c>
      <c r="C184" s="2" t="s">
        <v>119</v>
      </c>
      <c r="D184" s="2" t="s">
        <v>372</v>
      </c>
      <c r="E184" s="2" t="s">
        <v>483</v>
      </c>
      <c r="F184" s="2" t="s">
        <v>519</v>
      </c>
      <c r="G184" s="2" t="s">
        <v>548</v>
      </c>
      <c r="H184" s="2" t="s">
        <v>553</v>
      </c>
      <c r="I184" s="4">
        <v>1</v>
      </c>
      <c r="J184" s="5"/>
      <c r="K184" s="5"/>
    </row>
    <row r="185" spans="1:11" x14ac:dyDescent="0.3">
      <c r="A185" s="2" t="s">
        <v>11</v>
      </c>
      <c r="B185" s="3">
        <v>45826</v>
      </c>
      <c r="C185" s="2" t="s">
        <v>120</v>
      </c>
      <c r="D185" s="2" t="s">
        <v>325</v>
      </c>
      <c r="E185" s="2" t="s">
        <v>507</v>
      </c>
      <c r="F185" s="2" t="s">
        <v>519</v>
      </c>
      <c r="G185" s="2" t="s">
        <v>548</v>
      </c>
      <c r="H185" s="2" t="s">
        <v>553</v>
      </c>
      <c r="I185" s="4">
        <v>4</v>
      </c>
      <c r="J185" s="5">
        <v>456000</v>
      </c>
      <c r="K185" s="5">
        <f>ROUND(IF(ISNUMBER(J185), I185*J185, I185),5)</f>
        <v>1824000</v>
      </c>
    </row>
    <row r="186" spans="1:11" x14ac:dyDescent="0.3">
      <c r="A186" s="2" t="s">
        <v>11</v>
      </c>
      <c r="B186" s="3">
        <v>45826</v>
      </c>
      <c r="C186" s="2" t="s">
        <v>120</v>
      </c>
      <c r="D186" s="2" t="s">
        <v>325</v>
      </c>
      <c r="E186" s="2" t="s">
        <v>508</v>
      </c>
      <c r="F186" s="2" t="s">
        <v>519</v>
      </c>
      <c r="G186" s="2" t="s">
        <v>548</v>
      </c>
      <c r="H186" s="2" t="s">
        <v>553</v>
      </c>
      <c r="I186" s="4">
        <v>4</v>
      </c>
      <c r="J186" s="5"/>
      <c r="K186" s="5"/>
    </row>
    <row r="187" spans="1:11" x14ac:dyDescent="0.3">
      <c r="A187" s="2" t="s">
        <v>11</v>
      </c>
      <c r="B187" s="3">
        <v>45826</v>
      </c>
      <c r="C187" s="2" t="s">
        <v>120</v>
      </c>
      <c r="D187" s="2" t="s">
        <v>325</v>
      </c>
      <c r="E187" s="2" t="s">
        <v>451</v>
      </c>
      <c r="F187" s="2" t="s">
        <v>540</v>
      </c>
      <c r="G187" s="2" t="s">
        <v>548</v>
      </c>
      <c r="H187" s="2" t="s">
        <v>553</v>
      </c>
      <c r="I187" s="4">
        <v>18</v>
      </c>
      <c r="J187" s="5">
        <v>169400</v>
      </c>
      <c r="K187" s="5">
        <f>ROUND(IF(ISNUMBER(J187), I187*J187, I187),5)</f>
        <v>3049200</v>
      </c>
    </row>
    <row r="188" spans="1:11" x14ac:dyDescent="0.3">
      <c r="A188" s="2" t="s">
        <v>11</v>
      </c>
      <c r="B188" s="3">
        <v>45827</v>
      </c>
      <c r="C188" s="2" t="s">
        <v>121</v>
      </c>
      <c r="D188" s="2" t="s">
        <v>366</v>
      </c>
      <c r="E188" s="2" t="s">
        <v>491</v>
      </c>
      <c r="F188" s="2" t="s">
        <v>542</v>
      </c>
      <c r="G188" s="2" t="s">
        <v>551</v>
      </c>
      <c r="H188" s="2" t="s">
        <v>553</v>
      </c>
      <c r="I188" s="4">
        <v>1</v>
      </c>
      <c r="J188" s="5">
        <v>39500</v>
      </c>
      <c r="K188" s="5">
        <f>ROUND(IF(ISNUMBER(J188), I188*J188, I188),5)</f>
        <v>39500</v>
      </c>
    </row>
    <row r="189" spans="1:11" x14ac:dyDescent="0.3">
      <c r="A189" s="2" t="s">
        <v>11</v>
      </c>
      <c r="B189" s="3">
        <v>45827</v>
      </c>
      <c r="C189" s="2" t="s">
        <v>122</v>
      </c>
      <c r="D189" s="2" t="s">
        <v>348</v>
      </c>
      <c r="E189" s="2" t="s">
        <v>502</v>
      </c>
      <c r="F189" s="2" t="s">
        <v>542</v>
      </c>
      <c r="G189" s="2" t="s">
        <v>551</v>
      </c>
      <c r="H189" s="2" t="s">
        <v>553</v>
      </c>
      <c r="I189" s="4">
        <v>1</v>
      </c>
      <c r="J189" s="5">
        <v>57000</v>
      </c>
      <c r="K189" s="5">
        <f>ROUND(IF(ISNUMBER(J189), I189*J189, I189),5)</f>
        <v>57000</v>
      </c>
    </row>
    <row r="190" spans="1:11" x14ac:dyDescent="0.3">
      <c r="A190" s="2" t="s">
        <v>11</v>
      </c>
      <c r="B190" s="3">
        <v>45827</v>
      </c>
      <c r="C190" s="2" t="s">
        <v>123</v>
      </c>
      <c r="D190" s="2" t="s">
        <v>313</v>
      </c>
      <c r="E190" s="2" t="s">
        <v>480</v>
      </c>
      <c r="F190" s="2" t="s">
        <v>542</v>
      </c>
      <c r="G190" s="2" t="s">
        <v>550</v>
      </c>
      <c r="H190" s="2" t="s">
        <v>553</v>
      </c>
      <c r="I190" s="4">
        <v>3</v>
      </c>
      <c r="J190" s="5">
        <v>6900</v>
      </c>
      <c r="K190" s="5">
        <f>ROUND(IF(ISNUMBER(J190), I190*J190, I190),5)</f>
        <v>20700</v>
      </c>
    </row>
    <row r="191" spans="1:11" x14ac:dyDescent="0.3">
      <c r="A191" s="2" t="s">
        <v>11</v>
      </c>
      <c r="B191" s="3">
        <v>45827</v>
      </c>
      <c r="C191" s="2" t="s">
        <v>124</v>
      </c>
      <c r="D191" s="2" t="s">
        <v>371</v>
      </c>
      <c r="E191" s="2" t="s">
        <v>490</v>
      </c>
      <c r="F191" s="2" t="s">
        <v>542</v>
      </c>
      <c r="G191" s="2" t="s">
        <v>551</v>
      </c>
      <c r="H191" s="2" t="s">
        <v>554</v>
      </c>
      <c r="I191" s="4">
        <v>1</v>
      </c>
      <c r="J191" s="5">
        <v>7000</v>
      </c>
      <c r="K191" s="5">
        <f>ROUND(IF(ISNUMBER(J191), I191*J191, I191),5)</f>
        <v>7000</v>
      </c>
    </row>
    <row r="192" spans="1:11" x14ac:dyDescent="0.3">
      <c r="A192" s="2" t="s">
        <v>11</v>
      </c>
      <c r="B192" s="3">
        <v>45827</v>
      </c>
      <c r="C192" s="2" t="s">
        <v>125</v>
      </c>
      <c r="D192" s="2" t="s">
        <v>373</v>
      </c>
      <c r="E192" s="2" t="s">
        <v>447</v>
      </c>
      <c r="F192" s="2" t="s">
        <v>540</v>
      </c>
      <c r="G192" s="2" t="s">
        <v>551</v>
      </c>
      <c r="H192" s="2" t="s">
        <v>554</v>
      </c>
      <c r="I192" s="4">
        <v>2</v>
      </c>
      <c r="J192" s="5">
        <v>41000</v>
      </c>
      <c r="K192" s="5">
        <f>ROUND(IF(ISNUMBER(J192), I192*J192, I192),5)</f>
        <v>82000</v>
      </c>
    </row>
    <row r="193" spans="1:11" x14ac:dyDescent="0.3">
      <c r="A193" s="2" t="s">
        <v>11</v>
      </c>
      <c r="B193" s="3">
        <v>45827</v>
      </c>
      <c r="C193" s="2" t="s">
        <v>126</v>
      </c>
      <c r="D193" s="2" t="s">
        <v>313</v>
      </c>
      <c r="E193" s="2" t="s">
        <v>444</v>
      </c>
      <c r="F193" s="2" t="s">
        <v>519</v>
      </c>
      <c r="G193" s="2" t="s">
        <v>549</v>
      </c>
      <c r="H193" s="2" t="s">
        <v>553</v>
      </c>
      <c r="I193" s="4">
        <v>1</v>
      </c>
      <c r="J193" s="5">
        <v>130000</v>
      </c>
      <c r="K193" s="5">
        <f>ROUND(IF(ISNUMBER(J193), I193*J193, I193),5)</f>
        <v>130000</v>
      </c>
    </row>
    <row r="194" spans="1:11" x14ac:dyDescent="0.3">
      <c r="A194" s="2" t="s">
        <v>11</v>
      </c>
      <c r="B194" s="3">
        <v>45827</v>
      </c>
      <c r="C194" s="2" t="s">
        <v>126</v>
      </c>
      <c r="D194" s="2" t="s">
        <v>313</v>
      </c>
      <c r="E194" s="2" t="s">
        <v>509</v>
      </c>
      <c r="F194" s="2" t="s">
        <v>519</v>
      </c>
      <c r="G194" s="2" t="s">
        <v>549</v>
      </c>
      <c r="H194" s="2" t="s">
        <v>553</v>
      </c>
      <c r="I194" s="4">
        <v>2</v>
      </c>
      <c r="J194" s="5">
        <v>124000</v>
      </c>
      <c r="K194" s="5">
        <f>ROUND(IF(ISNUMBER(J194), I194*J194, I194),5)</f>
        <v>248000</v>
      </c>
    </row>
    <row r="195" spans="1:11" x14ac:dyDescent="0.3">
      <c r="A195" s="2" t="s">
        <v>11</v>
      </c>
      <c r="B195" s="3">
        <v>45827</v>
      </c>
      <c r="C195" s="2" t="s">
        <v>126</v>
      </c>
      <c r="D195" s="2" t="s">
        <v>313</v>
      </c>
      <c r="E195" s="2" t="s">
        <v>488</v>
      </c>
      <c r="F195" s="2" t="s">
        <v>519</v>
      </c>
      <c r="G195" s="2" t="s">
        <v>549</v>
      </c>
      <c r="H195" s="2" t="s">
        <v>553</v>
      </c>
      <c r="I195" s="4">
        <v>1</v>
      </c>
      <c r="J195" s="5">
        <v>94000</v>
      </c>
      <c r="K195" s="5">
        <f>ROUND(IF(ISNUMBER(J195), I195*J195, I195),5)</f>
        <v>94000</v>
      </c>
    </row>
    <row r="196" spans="1:11" x14ac:dyDescent="0.3">
      <c r="A196" s="2" t="s">
        <v>11</v>
      </c>
      <c r="B196" s="3">
        <v>45828</v>
      </c>
      <c r="C196" s="2" t="s">
        <v>127</v>
      </c>
      <c r="D196" s="2" t="s">
        <v>374</v>
      </c>
      <c r="E196" s="2" t="s">
        <v>510</v>
      </c>
      <c r="F196" s="2" t="s">
        <v>542</v>
      </c>
      <c r="G196" s="2" t="s">
        <v>550</v>
      </c>
      <c r="H196" s="2" t="s">
        <v>554</v>
      </c>
      <c r="I196" s="4">
        <v>1</v>
      </c>
      <c r="J196" s="5">
        <v>24090</v>
      </c>
      <c r="K196" s="5">
        <f>ROUND(IF(ISNUMBER(J196), I196*J196, I196),5)</f>
        <v>24090</v>
      </c>
    </row>
    <row r="197" spans="1:11" x14ac:dyDescent="0.3">
      <c r="A197" s="2" t="s">
        <v>11</v>
      </c>
      <c r="B197" s="3">
        <v>45831</v>
      </c>
      <c r="C197" s="2" t="s">
        <v>128</v>
      </c>
      <c r="D197" s="2" t="s">
        <v>375</v>
      </c>
      <c r="E197" s="2" t="s">
        <v>465</v>
      </c>
      <c r="F197" s="2" t="s">
        <v>544</v>
      </c>
      <c r="G197" s="2" t="s">
        <v>548</v>
      </c>
      <c r="H197" s="2" t="s">
        <v>553</v>
      </c>
      <c r="I197" s="4">
        <v>1</v>
      </c>
      <c r="J197" s="5">
        <v>653600</v>
      </c>
      <c r="K197" s="5">
        <f>ROUND(IF(ISNUMBER(J197), I197*J197, I197),5)</f>
        <v>653600</v>
      </c>
    </row>
    <row r="198" spans="1:11" x14ac:dyDescent="0.3">
      <c r="A198" s="2" t="s">
        <v>11</v>
      </c>
      <c r="B198" s="3">
        <v>45831</v>
      </c>
      <c r="C198" s="2" t="s">
        <v>129</v>
      </c>
      <c r="D198" s="2" t="s">
        <v>328</v>
      </c>
      <c r="E198" s="2" t="s">
        <v>454</v>
      </c>
      <c r="F198" s="2" t="s">
        <v>543</v>
      </c>
      <c r="G198" s="2" t="s">
        <v>552</v>
      </c>
      <c r="H198" s="2" t="s">
        <v>554</v>
      </c>
      <c r="I198" s="4">
        <v>1</v>
      </c>
      <c r="J198" s="5">
        <v>2000</v>
      </c>
      <c r="K198" s="5">
        <f>ROUND(IF(ISNUMBER(J198), I198*J198, I198),5)</f>
        <v>2000</v>
      </c>
    </row>
    <row r="199" spans="1:11" x14ac:dyDescent="0.3">
      <c r="A199" s="2" t="s">
        <v>11</v>
      </c>
      <c r="B199" s="3">
        <v>45831</v>
      </c>
      <c r="C199" s="2" t="s">
        <v>130</v>
      </c>
      <c r="D199" s="2" t="s">
        <v>328</v>
      </c>
      <c r="E199" s="2" t="s">
        <v>454</v>
      </c>
      <c r="F199" s="2" t="s">
        <v>543</v>
      </c>
      <c r="G199" s="2" t="s">
        <v>552</v>
      </c>
      <c r="H199" s="2" t="s">
        <v>554</v>
      </c>
      <c r="I199" s="4">
        <v>1</v>
      </c>
      <c r="J199" s="5">
        <v>2000</v>
      </c>
      <c r="K199" s="5">
        <f>ROUND(IF(ISNUMBER(J199), I199*J199, I199),5)</f>
        <v>2000</v>
      </c>
    </row>
    <row r="200" spans="1:11" x14ac:dyDescent="0.3">
      <c r="A200" s="2" t="s">
        <v>11</v>
      </c>
      <c r="B200" s="3">
        <v>45832</v>
      </c>
      <c r="C200" s="2" t="s">
        <v>131</v>
      </c>
      <c r="D200" s="2" t="s">
        <v>376</v>
      </c>
      <c r="E200" s="2" t="s">
        <v>457</v>
      </c>
      <c r="F200" s="2" t="s">
        <v>542</v>
      </c>
      <c r="G200" s="2" t="s">
        <v>550</v>
      </c>
      <c r="H200" s="2" t="s">
        <v>553</v>
      </c>
      <c r="I200" s="4">
        <v>3</v>
      </c>
      <c r="J200" s="5">
        <v>22500</v>
      </c>
      <c r="K200" s="5">
        <f>ROUND(IF(ISNUMBER(J200), I200*J200, I200),5)</f>
        <v>67500</v>
      </c>
    </row>
    <row r="201" spans="1:11" x14ac:dyDescent="0.3">
      <c r="A201" s="2" t="s">
        <v>11</v>
      </c>
      <c r="B201" s="3">
        <v>45833</v>
      </c>
      <c r="C201" s="2" t="s">
        <v>132</v>
      </c>
      <c r="D201" s="2" t="s">
        <v>343</v>
      </c>
      <c r="E201" s="2" t="s">
        <v>486</v>
      </c>
      <c r="F201" s="2" t="s">
        <v>542</v>
      </c>
      <c r="G201" s="2" t="s">
        <v>551</v>
      </c>
      <c r="H201" s="2" t="s">
        <v>553</v>
      </c>
      <c r="I201" s="4">
        <v>1</v>
      </c>
      <c r="J201" s="5">
        <v>62000</v>
      </c>
      <c r="K201" s="5">
        <f>ROUND(IF(ISNUMBER(J201), I201*J201, I201),5)</f>
        <v>62000</v>
      </c>
    </row>
    <row r="202" spans="1:11" x14ac:dyDescent="0.3">
      <c r="A202" s="2" t="s">
        <v>11</v>
      </c>
      <c r="B202" s="3">
        <v>45833</v>
      </c>
      <c r="C202" s="2" t="s">
        <v>133</v>
      </c>
      <c r="D202" s="2" t="s">
        <v>312</v>
      </c>
      <c r="E202" s="2" t="s">
        <v>500</v>
      </c>
      <c r="F202" s="2" t="s">
        <v>519</v>
      </c>
      <c r="G202" s="2" t="s">
        <v>548</v>
      </c>
      <c r="H202" s="2" t="s">
        <v>553</v>
      </c>
      <c r="I202" s="4">
        <v>1</v>
      </c>
      <c r="J202" s="5">
        <v>218000</v>
      </c>
      <c r="K202" s="5">
        <f>ROUND(IF(ISNUMBER(J202), I202*J202, I202),5)</f>
        <v>218000</v>
      </c>
    </row>
    <row r="203" spans="1:11" x14ac:dyDescent="0.3">
      <c r="A203" s="2" t="s">
        <v>11</v>
      </c>
      <c r="B203" s="3">
        <v>45833</v>
      </c>
      <c r="C203" s="2" t="s">
        <v>133</v>
      </c>
      <c r="D203" s="2" t="s">
        <v>312</v>
      </c>
      <c r="E203" s="2" t="s">
        <v>466</v>
      </c>
      <c r="F203" s="2" t="s">
        <v>540</v>
      </c>
      <c r="G203" s="2" t="s">
        <v>548</v>
      </c>
      <c r="H203" s="2" t="s">
        <v>553</v>
      </c>
      <c r="I203" s="4">
        <v>3</v>
      </c>
      <c r="J203" s="5">
        <v>63000</v>
      </c>
      <c r="K203" s="5">
        <f>ROUND(IF(ISNUMBER(J203), I203*J203, I203),5)</f>
        <v>189000</v>
      </c>
    </row>
    <row r="204" spans="1:11" x14ac:dyDescent="0.3">
      <c r="A204" s="2" t="s">
        <v>11</v>
      </c>
      <c r="B204" s="3">
        <v>45834</v>
      </c>
      <c r="C204" s="2" t="s">
        <v>134</v>
      </c>
      <c r="D204" s="2" t="s">
        <v>377</v>
      </c>
      <c r="E204" s="2" t="s">
        <v>480</v>
      </c>
      <c r="F204" s="2" t="s">
        <v>542</v>
      </c>
      <c r="G204" s="2" t="s">
        <v>550</v>
      </c>
      <c r="H204" s="2" t="s">
        <v>553</v>
      </c>
      <c r="I204" s="4">
        <v>2</v>
      </c>
      <c r="J204" s="5">
        <v>8200</v>
      </c>
      <c r="K204" s="5">
        <f>ROUND(IF(ISNUMBER(J204), I204*J204, I204),5)</f>
        <v>16400</v>
      </c>
    </row>
    <row r="205" spans="1:11" x14ac:dyDescent="0.3">
      <c r="A205" s="2" t="s">
        <v>11</v>
      </c>
      <c r="B205" s="3">
        <v>45834</v>
      </c>
      <c r="C205" s="2" t="s">
        <v>135</v>
      </c>
      <c r="D205" s="2" t="s">
        <v>330</v>
      </c>
      <c r="E205" s="2" t="s">
        <v>505</v>
      </c>
      <c r="F205" s="2" t="s">
        <v>519</v>
      </c>
      <c r="G205" s="2" t="s">
        <v>549</v>
      </c>
      <c r="H205" s="2" t="s">
        <v>553</v>
      </c>
      <c r="I205" s="4">
        <v>1</v>
      </c>
      <c r="J205" s="5">
        <v>795000</v>
      </c>
      <c r="K205" s="5">
        <f>ROUND(IF(ISNUMBER(J205), I205*J205, I205),5)</f>
        <v>795000</v>
      </c>
    </row>
    <row r="206" spans="1:11" x14ac:dyDescent="0.3">
      <c r="A206" s="2" t="s">
        <v>11</v>
      </c>
      <c r="B206" s="3">
        <v>45834</v>
      </c>
      <c r="C206" s="2" t="s">
        <v>135</v>
      </c>
      <c r="D206" s="2" t="s">
        <v>330</v>
      </c>
      <c r="E206" s="2" t="s">
        <v>451</v>
      </c>
      <c r="F206" s="2" t="s">
        <v>540</v>
      </c>
      <c r="G206" s="2" t="s">
        <v>549</v>
      </c>
      <c r="H206" s="2" t="s">
        <v>553</v>
      </c>
      <c r="I206" s="4">
        <v>3</v>
      </c>
      <c r="J206" s="5">
        <v>0</v>
      </c>
      <c r="K206" s="5">
        <f>ROUND(IF(ISNUMBER(J206), I206*J206, I206),5)</f>
        <v>0</v>
      </c>
    </row>
    <row r="207" spans="1:11" x14ac:dyDescent="0.3">
      <c r="A207" s="2" t="s">
        <v>11</v>
      </c>
      <c r="B207" s="3">
        <v>45834</v>
      </c>
      <c r="C207" s="2" t="s">
        <v>136</v>
      </c>
      <c r="D207" s="2" t="s">
        <v>378</v>
      </c>
      <c r="E207" s="2" t="s">
        <v>509</v>
      </c>
      <c r="F207" s="2" t="s">
        <v>519</v>
      </c>
      <c r="G207" s="2" t="s">
        <v>551</v>
      </c>
      <c r="H207" s="2" t="s">
        <v>553</v>
      </c>
      <c r="I207" s="4">
        <v>1</v>
      </c>
      <c r="J207" s="5">
        <v>247800</v>
      </c>
      <c r="K207" s="5">
        <f>ROUND(IF(ISNUMBER(J207), I207*J207, I207),5)</f>
        <v>247800</v>
      </c>
    </row>
    <row r="208" spans="1:11" x14ac:dyDescent="0.3">
      <c r="A208" s="2" t="s">
        <v>11</v>
      </c>
      <c r="B208" s="3">
        <v>45834</v>
      </c>
      <c r="C208" s="2" t="s">
        <v>136</v>
      </c>
      <c r="D208" s="2" t="s">
        <v>378</v>
      </c>
      <c r="E208" s="2" t="s">
        <v>442</v>
      </c>
      <c r="F208" s="2" t="s">
        <v>540</v>
      </c>
      <c r="G208" s="2" t="s">
        <v>551</v>
      </c>
      <c r="H208" s="2" t="s">
        <v>553</v>
      </c>
      <c r="I208" s="4">
        <v>2</v>
      </c>
      <c r="J208" s="5">
        <v>0</v>
      </c>
      <c r="K208" s="5">
        <f>ROUND(IF(ISNUMBER(J208), I208*J208, I208),5)</f>
        <v>0</v>
      </c>
    </row>
    <row r="209" spans="1:11" x14ac:dyDescent="0.3">
      <c r="A209" s="2" t="s">
        <v>11</v>
      </c>
      <c r="B209" s="3">
        <v>45835</v>
      </c>
      <c r="C209" s="2" t="s">
        <v>137</v>
      </c>
      <c r="D209" s="2" t="s">
        <v>379</v>
      </c>
      <c r="E209" s="2" t="s">
        <v>459</v>
      </c>
      <c r="F209" s="2" t="s">
        <v>519</v>
      </c>
      <c r="G209" s="2" t="s">
        <v>548</v>
      </c>
      <c r="H209" s="2" t="s">
        <v>553</v>
      </c>
      <c r="I209" s="4">
        <v>1</v>
      </c>
      <c r="J209" s="5">
        <v>628000</v>
      </c>
      <c r="K209" s="5">
        <f>ROUND(IF(ISNUMBER(J209), I209*J209, I209),5)</f>
        <v>628000</v>
      </c>
    </row>
    <row r="210" spans="1:11" x14ac:dyDescent="0.3">
      <c r="A210" s="2" t="s">
        <v>11</v>
      </c>
      <c r="B210" s="3">
        <v>45835</v>
      </c>
      <c r="C210" s="2" t="s">
        <v>137</v>
      </c>
      <c r="D210" s="2" t="s">
        <v>379</v>
      </c>
      <c r="E210" s="2" t="s">
        <v>482</v>
      </c>
      <c r="F210" s="2" t="s">
        <v>540</v>
      </c>
      <c r="G210" s="2" t="s">
        <v>548</v>
      </c>
      <c r="H210" s="2" t="s">
        <v>553</v>
      </c>
      <c r="I210" s="4">
        <v>4</v>
      </c>
      <c r="J210" s="5">
        <v>108000</v>
      </c>
      <c r="K210" s="5">
        <f>ROUND(IF(ISNUMBER(J210), I210*J210, I210),5)</f>
        <v>432000</v>
      </c>
    </row>
    <row r="211" spans="1:11" x14ac:dyDescent="0.3">
      <c r="A211" s="2" t="s">
        <v>11</v>
      </c>
      <c r="B211" s="3">
        <v>45835</v>
      </c>
      <c r="C211" s="2" t="s">
        <v>138</v>
      </c>
      <c r="D211" s="2" t="s">
        <v>379</v>
      </c>
      <c r="E211" s="2" t="s">
        <v>459</v>
      </c>
      <c r="F211" s="2" t="s">
        <v>519</v>
      </c>
      <c r="G211" s="2" t="s">
        <v>548</v>
      </c>
      <c r="H211" s="2" t="s">
        <v>553</v>
      </c>
      <c r="I211" s="4">
        <v>1</v>
      </c>
      <c r="J211" s="5">
        <v>628000</v>
      </c>
      <c r="K211" s="5">
        <f>ROUND(IF(ISNUMBER(J211), I211*J211, I211),5)</f>
        <v>628000</v>
      </c>
    </row>
    <row r="212" spans="1:11" x14ac:dyDescent="0.3">
      <c r="A212" s="2" t="s">
        <v>11</v>
      </c>
      <c r="B212" s="3">
        <v>45835</v>
      </c>
      <c r="C212" s="2" t="s">
        <v>138</v>
      </c>
      <c r="D212" s="2" t="s">
        <v>379</v>
      </c>
      <c r="E212" s="2" t="s">
        <v>482</v>
      </c>
      <c r="F212" s="2" t="s">
        <v>540</v>
      </c>
      <c r="G212" s="2" t="s">
        <v>548</v>
      </c>
      <c r="H212" s="2" t="s">
        <v>553</v>
      </c>
      <c r="I212" s="4">
        <v>4</v>
      </c>
      <c r="J212" s="5">
        <v>108000</v>
      </c>
      <c r="K212" s="5">
        <f>ROUND(IF(ISNUMBER(J212), I212*J212, I212),5)</f>
        <v>432000</v>
      </c>
    </row>
    <row r="213" spans="1:11" x14ac:dyDescent="0.3">
      <c r="A213" s="2" t="s">
        <v>11</v>
      </c>
      <c r="B213" s="3">
        <v>45835</v>
      </c>
      <c r="C213" s="2" t="s">
        <v>138</v>
      </c>
      <c r="D213" s="2" t="s">
        <v>379</v>
      </c>
      <c r="E213" s="2" t="s">
        <v>459</v>
      </c>
      <c r="F213" s="2" t="s">
        <v>519</v>
      </c>
      <c r="G213" s="2" t="s">
        <v>548</v>
      </c>
      <c r="H213" s="2" t="s">
        <v>553</v>
      </c>
      <c r="I213" s="4">
        <v>1</v>
      </c>
      <c r="J213" s="5">
        <v>628000</v>
      </c>
      <c r="K213" s="5">
        <f>ROUND(IF(ISNUMBER(J213), I213*J213, I213),5)</f>
        <v>628000</v>
      </c>
    </row>
    <row r="214" spans="1:11" x14ac:dyDescent="0.3">
      <c r="A214" s="2" t="s">
        <v>11</v>
      </c>
      <c r="B214" s="3">
        <v>45835</v>
      </c>
      <c r="C214" s="2" t="s">
        <v>138</v>
      </c>
      <c r="D214" s="2" t="s">
        <v>379</v>
      </c>
      <c r="E214" s="2" t="s">
        <v>482</v>
      </c>
      <c r="F214" s="2" t="s">
        <v>540</v>
      </c>
      <c r="G214" s="2" t="s">
        <v>548</v>
      </c>
      <c r="H214" s="2" t="s">
        <v>553</v>
      </c>
      <c r="I214" s="4">
        <v>4</v>
      </c>
      <c r="J214" s="5">
        <v>108000</v>
      </c>
      <c r="K214" s="5">
        <f>ROUND(IF(ISNUMBER(J214), I214*J214, I214),5)</f>
        <v>432000</v>
      </c>
    </row>
    <row r="215" spans="1:11" x14ac:dyDescent="0.3">
      <c r="A215" s="2" t="s">
        <v>11</v>
      </c>
      <c r="B215" s="3">
        <v>45835</v>
      </c>
      <c r="C215" s="2" t="s">
        <v>138</v>
      </c>
      <c r="D215" s="2" t="s">
        <v>379</v>
      </c>
      <c r="E215" s="2" t="s">
        <v>441</v>
      </c>
      <c r="F215" s="2" t="s">
        <v>547</v>
      </c>
      <c r="G215" s="2" t="s">
        <v>548</v>
      </c>
      <c r="H215" s="2" t="s">
        <v>553</v>
      </c>
      <c r="I215" s="4"/>
      <c r="J215" s="5">
        <v>-16000</v>
      </c>
      <c r="K215" s="5">
        <v>-16000</v>
      </c>
    </row>
    <row r="216" spans="1:11" x14ac:dyDescent="0.3">
      <c r="A216" s="2" t="s">
        <v>11</v>
      </c>
      <c r="B216" s="3">
        <v>45835</v>
      </c>
      <c r="C216" s="2" t="s">
        <v>139</v>
      </c>
      <c r="D216" s="2" t="s">
        <v>348</v>
      </c>
      <c r="E216" s="2" t="s">
        <v>465</v>
      </c>
      <c r="F216" s="2" t="s">
        <v>544</v>
      </c>
      <c r="G216" s="2" t="s">
        <v>551</v>
      </c>
      <c r="H216" s="2" t="s">
        <v>553</v>
      </c>
      <c r="I216" s="4">
        <v>1</v>
      </c>
      <c r="J216" s="5">
        <v>152000</v>
      </c>
      <c r="K216" s="5">
        <f>ROUND(IF(ISNUMBER(J216), I216*J216, I216),5)</f>
        <v>152000</v>
      </c>
    </row>
    <row r="217" spans="1:11" x14ac:dyDescent="0.3">
      <c r="A217" s="2" t="s">
        <v>11</v>
      </c>
      <c r="B217" s="3">
        <v>45838</v>
      </c>
      <c r="C217" s="2" t="s">
        <v>140</v>
      </c>
      <c r="D217" s="2" t="s">
        <v>340</v>
      </c>
      <c r="E217" s="2" t="s">
        <v>459</v>
      </c>
      <c r="F217" s="2" t="s">
        <v>519</v>
      </c>
      <c r="G217" s="2" t="s">
        <v>548</v>
      </c>
      <c r="H217" s="2" t="s">
        <v>553</v>
      </c>
      <c r="I217" s="4">
        <v>1</v>
      </c>
      <c r="J217" s="5">
        <v>647000</v>
      </c>
      <c r="K217" s="5">
        <f>ROUND(IF(ISNUMBER(J217), I217*J217, I217),5)</f>
        <v>647000</v>
      </c>
    </row>
    <row r="218" spans="1:11" x14ac:dyDescent="0.3">
      <c r="A218" s="2" t="s">
        <v>11</v>
      </c>
      <c r="B218" s="3">
        <v>45838</v>
      </c>
      <c r="C218" s="2" t="s">
        <v>140</v>
      </c>
      <c r="D218" s="2" t="s">
        <v>340</v>
      </c>
      <c r="E218" s="2" t="s">
        <v>453</v>
      </c>
      <c r="F218" s="2" t="s">
        <v>540</v>
      </c>
      <c r="G218" s="2" t="s">
        <v>548</v>
      </c>
      <c r="H218" s="2" t="s">
        <v>553</v>
      </c>
      <c r="I218" s="4">
        <v>4</v>
      </c>
      <c r="J218" s="5">
        <v>80000</v>
      </c>
      <c r="K218" s="5">
        <f>ROUND(IF(ISNUMBER(J218), I218*J218, I218),5)</f>
        <v>320000</v>
      </c>
    </row>
    <row r="219" spans="1:11" x14ac:dyDescent="0.3">
      <c r="A219" s="2" t="s">
        <v>11</v>
      </c>
      <c r="B219" s="3">
        <v>45838</v>
      </c>
      <c r="C219" s="2" t="s">
        <v>140</v>
      </c>
      <c r="D219" s="2" t="s">
        <v>340</v>
      </c>
      <c r="E219" s="2" t="s">
        <v>460</v>
      </c>
      <c r="F219" s="2" t="s">
        <v>519</v>
      </c>
      <c r="G219" s="2" t="s">
        <v>548</v>
      </c>
      <c r="H219" s="2" t="s">
        <v>553</v>
      </c>
      <c r="I219" s="4">
        <v>1</v>
      </c>
      <c r="J219" s="5"/>
      <c r="K219" s="5"/>
    </row>
    <row r="220" spans="1:11" x14ac:dyDescent="0.3">
      <c r="A220" s="2" t="s">
        <v>11</v>
      </c>
      <c r="B220" s="3">
        <v>45839</v>
      </c>
      <c r="C220" s="2" t="s">
        <v>141</v>
      </c>
      <c r="D220" s="2" t="s">
        <v>344</v>
      </c>
      <c r="E220" s="2" t="s">
        <v>490</v>
      </c>
      <c r="F220" s="2" t="s">
        <v>542</v>
      </c>
      <c r="G220" s="2" t="s">
        <v>550</v>
      </c>
      <c r="H220" s="2" t="s">
        <v>554</v>
      </c>
      <c r="I220" s="4">
        <v>1</v>
      </c>
      <c r="J220" s="5">
        <v>6100</v>
      </c>
      <c r="K220" s="5">
        <f>ROUND(IF(ISNUMBER(J220), I220*J220, I220),5)</f>
        <v>6100</v>
      </c>
    </row>
    <row r="221" spans="1:11" x14ac:dyDescent="0.3">
      <c r="A221" s="2" t="s">
        <v>11</v>
      </c>
      <c r="B221" s="3">
        <v>45839</v>
      </c>
      <c r="C221" s="2" t="s">
        <v>142</v>
      </c>
      <c r="D221" s="2" t="s">
        <v>380</v>
      </c>
      <c r="E221" s="2" t="s">
        <v>500</v>
      </c>
      <c r="F221" s="2" t="s">
        <v>519</v>
      </c>
      <c r="G221" s="2" t="s">
        <v>548</v>
      </c>
      <c r="H221" s="2" t="s">
        <v>553</v>
      </c>
      <c r="I221" s="4">
        <v>1</v>
      </c>
      <c r="J221" s="5">
        <v>214000</v>
      </c>
      <c r="K221" s="5">
        <f>ROUND(IF(ISNUMBER(J221), I221*J221, I221),5)</f>
        <v>214000</v>
      </c>
    </row>
    <row r="222" spans="1:11" x14ac:dyDescent="0.3">
      <c r="A222" s="2" t="s">
        <v>11</v>
      </c>
      <c r="B222" s="3">
        <v>45839</v>
      </c>
      <c r="C222" s="2" t="s">
        <v>143</v>
      </c>
      <c r="D222" s="2" t="s">
        <v>347</v>
      </c>
      <c r="E222" s="2" t="s">
        <v>478</v>
      </c>
      <c r="F222" s="2" t="s">
        <v>519</v>
      </c>
      <c r="G222" s="2" t="s">
        <v>551</v>
      </c>
      <c r="H222" s="2" t="s">
        <v>554</v>
      </c>
      <c r="I222" s="4">
        <v>1</v>
      </c>
      <c r="J222" s="5">
        <v>378860</v>
      </c>
      <c r="K222" s="5">
        <f>ROUND(IF(ISNUMBER(J222), I222*J222, I222),5)</f>
        <v>378860</v>
      </c>
    </row>
    <row r="223" spans="1:11" x14ac:dyDescent="0.3">
      <c r="A223" s="2" t="s">
        <v>11</v>
      </c>
      <c r="B223" s="3">
        <v>45839</v>
      </c>
      <c r="C223" s="2" t="s">
        <v>143</v>
      </c>
      <c r="D223" s="2" t="s">
        <v>347</v>
      </c>
      <c r="E223" s="2" t="s">
        <v>447</v>
      </c>
      <c r="F223" s="2" t="s">
        <v>540</v>
      </c>
      <c r="G223" s="2" t="s">
        <v>551</v>
      </c>
      <c r="H223" s="2" t="s">
        <v>554</v>
      </c>
      <c r="I223" s="4">
        <v>4</v>
      </c>
      <c r="J223" s="5"/>
      <c r="K223" s="5"/>
    </row>
    <row r="224" spans="1:11" x14ac:dyDescent="0.3">
      <c r="A224" s="2" t="s">
        <v>11</v>
      </c>
      <c r="B224" s="3">
        <v>45839</v>
      </c>
      <c r="C224" s="2" t="s">
        <v>144</v>
      </c>
      <c r="D224" s="2" t="s">
        <v>381</v>
      </c>
      <c r="E224" s="2" t="s">
        <v>496</v>
      </c>
      <c r="F224" s="2" t="s">
        <v>545</v>
      </c>
      <c r="G224" s="2" t="s">
        <v>549</v>
      </c>
      <c r="H224" s="2" t="s">
        <v>554</v>
      </c>
      <c r="I224" s="4">
        <v>20</v>
      </c>
      <c r="J224" s="5">
        <v>1300</v>
      </c>
      <c r="K224" s="5">
        <f>ROUND(IF(ISNUMBER(J224), I224*J224, I224),5)</f>
        <v>26000</v>
      </c>
    </row>
    <row r="225" spans="1:11" x14ac:dyDescent="0.3">
      <c r="A225" s="2" t="s">
        <v>11</v>
      </c>
      <c r="B225" s="3">
        <v>45840</v>
      </c>
      <c r="C225" s="2" t="s">
        <v>145</v>
      </c>
      <c r="D225" s="2" t="s">
        <v>382</v>
      </c>
      <c r="E225" s="2" t="s">
        <v>474</v>
      </c>
      <c r="F225" s="2" t="s">
        <v>542</v>
      </c>
      <c r="G225" s="2" t="s">
        <v>550</v>
      </c>
      <c r="H225" s="2" t="s">
        <v>554</v>
      </c>
      <c r="I225" s="4">
        <v>1</v>
      </c>
      <c r="J225" s="5">
        <v>6018</v>
      </c>
      <c r="K225" s="5">
        <f>ROUND(IF(ISNUMBER(J225), I225*J225, I225),5)</f>
        <v>6018</v>
      </c>
    </row>
    <row r="226" spans="1:11" x14ac:dyDescent="0.3">
      <c r="A226" s="2" t="s">
        <v>11</v>
      </c>
      <c r="B226" s="3">
        <v>45840</v>
      </c>
      <c r="C226" s="2" t="s">
        <v>145</v>
      </c>
      <c r="D226" s="2" t="s">
        <v>382</v>
      </c>
      <c r="E226" s="2" t="s">
        <v>480</v>
      </c>
      <c r="F226" s="2" t="s">
        <v>542</v>
      </c>
      <c r="G226" s="2" t="s">
        <v>550</v>
      </c>
      <c r="H226" s="2" t="s">
        <v>554</v>
      </c>
      <c r="I226" s="4">
        <v>1</v>
      </c>
      <c r="J226" s="5">
        <v>7906</v>
      </c>
      <c r="K226" s="5">
        <f>ROUND(IF(ISNUMBER(J226), I226*J226, I226),5)</f>
        <v>7906</v>
      </c>
    </row>
    <row r="227" spans="1:11" x14ac:dyDescent="0.3">
      <c r="A227" s="2" t="s">
        <v>11</v>
      </c>
      <c r="B227" s="3">
        <v>45841</v>
      </c>
      <c r="C227" s="2" t="s">
        <v>146</v>
      </c>
      <c r="D227" s="2" t="s">
        <v>383</v>
      </c>
      <c r="E227" s="2" t="s">
        <v>472</v>
      </c>
      <c r="F227" s="2" t="s">
        <v>544</v>
      </c>
      <c r="G227" s="2" t="s">
        <v>548</v>
      </c>
      <c r="H227" s="2" t="s">
        <v>554</v>
      </c>
      <c r="I227" s="4">
        <v>1</v>
      </c>
      <c r="J227" s="5">
        <v>20060</v>
      </c>
      <c r="K227" s="5">
        <f>ROUND(IF(ISNUMBER(J227), I227*J227, I227),5)</f>
        <v>20060</v>
      </c>
    </row>
    <row r="228" spans="1:11" x14ac:dyDescent="0.3">
      <c r="A228" s="2" t="s">
        <v>11</v>
      </c>
      <c r="B228" s="3">
        <v>45841</v>
      </c>
      <c r="C228" s="2" t="s">
        <v>147</v>
      </c>
      <c r="D228" s="2" t="s">
        <v>384</v>
      </c>
      <c r="E228" s="2" t="s">
        <v>492</v>
      </c>
      <c r="F228" s="2" t="s">
        <v>542</v>
      </c>
      <c r="G228" s="2" t="s">
        <v>550</v>
      </c>
      <c r="H228" s="2" t="s">
        <v>554</v>
      </c>
      <c r="I228" s="4">
        <v>2</v>
      </c>
      <c r="J228" s="5">
        <v>3900</v>
      </c>
      <c r="K228" s="5">
        <f>ROUND(IF(ISNUMBER(J228), I228*J228, I228),5)</f>
        <v>7800</v>
      </c>
    </row>
    <row r="229" spans="1:11" x14ac:dyDescent="0.3">
      <c r="A229" s="2" t="s">
        <v>11</v>
      </c>
      <c r="B229" s="3">
        <v>45841</v>
      </c>
      <c r="C229" s="2" t="s">
        <v>148</v>
      </c>
      <c r="D229" s="2" t="s">
        <v>313</v>
      </c>
      <c r="E229" s="2" t="s">
        <v>511</v>
      </c>
      <c r="F229" s="2" t="s">
        <v>542</v>
      </c>
      <c r="G229" s="2" t="s">
        <v>550</v>
      </c>
      <c r="H229" s="2" t="s">
        <v>553</v>
      </c>
      <c r="I229" s="4">
        <v>2</v>
      </c>
      <c r="J229" s="5">
        <v>16271.2</v>
      </c>
      <c r="K229" s="5">
        <f>ROUND(IF(ISNUMBER(J229), I229*J229, I229),5)</f>
        <v>32542.400000000001</v>
      </c>
    </row>
    <row r="230" spans="1:11" x14ac:dyDescent="0.3">
      <c r="A230" s="2" t="s">
        <v>11</v>
      </c>
      <c r="B230" s="3">
        <v>45841</v>
      </c>
      <c r="C230" s="2" t="s">
        <v>148</v>
      </c>
      <c r="D230" s="2" t="s">
        <v>313</v>
      </c>
      <c r="E230" s="2" t="s">
        <v>504</v>
      </c>
      <c r="F230" s="2" t="s">
        <v>542</v>
      </c>
      <c r="G230" s="2" t="s">
        <v>550</v>
      </c>
      <c r="H230" s="2" t="s">
        <v>553</v>
      </c>
      <c r="I230" s="4">
        <v>2</v>
      </c>
      <c r="J230" s="5">
        <v>16000</v>
      </c>
      <c r="K230" s="5">
        <f>ROUND(IF(ISNUMBER(J230), I230*J230, I230),5)</f>
        <v>32000</v>
      </c>
    </row>
    <row r="231" spans="1:11" x14ac:dyDescent="0.3">
      <c r="A231" s="2" t="s">
        <v>11</v>
      </c>
      <c r="B231" s="3">
        <v>45841</v>
      </c>
      <c r="C231" s="2" t="s">
        <v>148</v>
      </c>
      <c r="D231" s="2" t="s">
        <v>313</v>
      </c>
      <c r="E231" s="2" t="s">
        <v>491</v>
      </c>
      <c r="F231" s="2" t="s">
        <v>542</v>
      </c>
      <c r="G231" s="2" t="s">
        <v>550</v>
      </c>
      <c r="H231" s="2" t="s">
        <v>553</v>
      </c>
      <c r="I231" s="4">
        <v>1</v>
      </c>
      <c r="J231" s="5">
        <v>38135.5</v>
      </c>
      <c r="K231" s="5">
        <f>ROUND(IF(ISNUMBER(J231), I231*J231, I231),5)</f>
        <v>38135.5</v>
      </c>
    </row>
    <row r="232" spans="1:11" x14ac:dyDescent="0.3">
      <c r="A232" s="2" t="s">
        <v>11</v>
      </c>
      <c r="B232" s="3">
        <v>45841</v>
      </c>
      <c r="C232" s="2" t="s">
        <v>148</v>
      </c>
      <c r="D232" s="2" t="s">
        <v>313</v>
      </c>
      <c r="E232" s="2" t="s">
        <v>457</v>
      </c>
      <c r="F232" s="2" t="s">
        <v>542</v>
      </c>
      <c r="G232" s="2" t="s">
        <v>550</v>
      </c>
      <c r="H232" s="2" t="s">
        <v>553</v>
      </c>
      <c r="I232" s="4">
        <v>3</v>
      </c>
      <c r="J232" s="5">
        <v>19800</v>
      </c>
      <c r="K232" s="5">
        <f>ROUND(IF(ISNUMBER(J232), I232*J232, I232),5)</f>
        <v>59400</v>
      </c>
    </row>
    <row r="233" spans="1:11" x14ac:dyDescent="0.3">
      <c r="A233" s="2" t="s">
        <v>11</v>
      </c>
      <c r="B233" s="3">
        <v>45841</v>
      </c>
      <c r="C233" s="2" t="s">
        <v>148</v>
      </c>
      <c r="D233" s="2" t="s">
        <v>313</v>
      </c>
      <c r="E233" s="2" t="s">
        <v>452</v>
      </c>
      <c r="F233" s="2" t="s">
        <v>542</v>
      </c>
      <c r="G233" s="2" t="s">
        <v>550</v>
      </c>
      <c r="H233" s="2" t="s">
        <v>553</v>
      </c>
      <c r="I233" s="4">
        <v>2</v>
      </c>
      <c r="J233" s="5">
        <v>8500</v>
      </c>
      <c r="K233" s="5">
        <f>ROUND(IF(ISNUMBER(J233), I233*J233, I233),5)</f>
        <v>17000</v>
      </c>
    </row>
    <row r="234" spans="1:11" x14ac:dyDescent="0.3">
      <c r="A234" s="2" t="s">
        <v>11</v>
      </c>
      <c r="B234" s="3">
        <v>45841</v>
      </c>
      <c r="C234" s="2" t="s">
        <v>149</v>
      </c>
      <c r="D234" s="2" t="s">
        <v>313</v>
      </c>
      <c r="E234" s="2" t="s">
        <v>446</v>
      </c>
      <c r="F234" s="2" t="s">
        <v>519</v>
      </c>
      <c r="G234" s="2" t="s">
        <v>549</v>
      </c>
      <c r="H234" s="2" t="s">
        <v>553</v>
      </c>
      <c r="I234" s="4">
        <v>1</v>
      </c>
      <c r="J234" s="5">
        <v>64000</v>
      </c>
      <c r="K234" s="5">
        <f>ROUND(IF(ISNUMBER(J234), I234*J234, I234),5)</f>
        <v>64000</v>
      </c>
    </row>
    <row r="235" spans="1:11" x14ac:dyDescent="0.3">
      <c r="A235" s="2" t="s">
        <v>11</v>
      </c>
      <c r="B235" s="3">
        <v>45842</v>
      </c>
      <c r="C235" s="2" t="s">
        <v>150</v>
      </c>
      <c r="D235" s="2" t="s">
        <v>385</v>
      </c>
      <c r="E235" s="2" t="s">
        <v>512</v>
      </c>
      <c r="F235" s="2" t="s">
        <v>450</v>
      </c>
      <c r="G235" s="2" t="s">
        <v>551</v>
      </c>
      <c r="H235" s="2" t="s">
        <v>553</v>
      </c>
      <c r="I235" s="4">
        <v>1</v>
      </c>
      <c r="J235" s="5">
        <v>297000</v>
      </c>
      <c r="K235" s="5">
        <f>ROUND(IF(ISNUMBER(J235), I235*J235, I235),5)</f>
        <v>297000</v>
      </c>
    </row>
    <row r="236" spans="1:11" x14ac:dyDescent="0.3">
      <c r="A236" s="2" t="s">
        <v>11</v>
      </c>
      <c r="B236" s="3">
        <v>45842</v>
      </c>
      <c r="C236" s="2" t="s">
        <v>151</v>
      </c>
      <c r="D236" s="2" t="s">
        <v>369</v>
      </c>
      <c r="E236" s="2" t="s">
        <v>474</v>
      </c>
      <c r="F236" s="2" t="s">
        <v>542</v>
      </c>
      <c r="G236" s="2" t="s">
        <v>550</v>
      </c>
      <c r="H236" s="2" t="s">
        <v>554</v>
      </c>
      <c r="I236" s="4">
        <v>2</v>
      </c>
      <c r="J236" s="5">
        <v>6100</v>
      </c>
      <c r="K236" s="5">
        <f>ROUND(IF(ISNUMBER(J236), I236*J236, I236),5)</f>
        <v>12200</v>
      </c>
    </row>
    <row r="237" spans="1:11" x14ac:dyDescent="0.3">
      <c r="A237" s="2" t="s">
        <v>11</v>
      </c>
      <c r="B237" s="3">
        <v>45842</v>
      </c>
      <c r="C237" s="2" t="s">
        <v>151</v>
      </c>
      <c r="D237" s="2" t="s">
        <v>369</v>
      </c>
      <c r="E237" s="2" t="s">
        <v>456</v>
      </c>
      <c r="F237" s="2" t="s">
        <v>542</v>
      </c>
      <c r="G237" s="2" t="s">
        <v>550</v>
      </c>
      <c r="H237" s="2" t="s">
        <v>554</v>
      </c>
      <c r="I237" s="4">
        <v>1</v>
      </c>
      <c r="J237" s="5">
        <v>15800</v>
      </c>
      <c r="K237" s="5">
        <f>ROUND(IF(ISNUMBER(J237), I237*J237, I237),5)</f>
        <v>15800</v>
      </c>
    </row>
    <row r="238" spans="1:11" x14ac:dyDescent="0.3">
      <c r="A238" s="2" t="s">
        <v>11</v>
      </c>
      <c r="B238" s="3">
        <v>45842</v>
      </c>
      <c r="C238" s="2" t="s">
        <v>151</v>
      </c>
      <c r="D238" s="2" t="s">
        <v>369</v>
      </c>
      <c r="E238" s="2" t="s">
        <v>492</v>
      </c>
      <c r="F238" s="2" t="s">
        <v>542</v>
      </c>
      <c r="G238" s="2" t="s">
        <v>550</v>
      </c>
      <c r="H238" s="2" t="s">
        <v>554</v>
      </c>
      <c r="I238" s="4">
        <v>2</v>
      </c>
      <c r="J238" s="5">
        <v>3900</v>
      </c>
      <c r="K238" s="5">
        <f>ROUND(IF(ISNUMBER(J238), I238*J238, I238),5)</f>
        <v>7800</v>
      </c>
    </row>
    <row r="239" spans="1:11" x14ac:dyDescent="0.3">
      <c r="A239" s="2" t="s">
        <v>11</v>
      </c>
      <c r="B239" s="3">
        <v>45842</v>
      </c>
      <c r="C239" s="2" t="s">
        <v>151</v>
      </c>
      <c r="D239" s="2" t="s">
        <v>369</v>
      </c>
      <c r="E239" s="2" t="s">
        <v>490</v>
      </c>
      <c r="F239" s="2" t="s">
        <v>542</v>
      </c>
      <c r="G239" s="2" t="s">
        <v>550</v>
      </c>
      <c r="H239" s="2" t="s">
        <v>554</v>
      </c>
      <c r="I239" s="4">
        <v>2</v>
      </c>
      <c r="J239" s="5">
        <v>6000</v>
      </c>
      <c r="K239" s="5">
        <f>ROUND(IF(ISNUMBER(J239), I239*J239, I239),5)</f>
        <v>12000</v>
      </c>
    </row>
    <row r="240" spans="1:11" x14ac:dyDescent="0.3">
      <c r="A240" s="2" t="s">
        <v>11</v>
      </c>
      <c r="B240" s="3">
        <v>45843</v>
      </c>
      <c r="C240" s="2" t="s">
        <v>152</v>
      </c>
      <c r="D240" s="2" t="s">
        <v>378</v>
      </c>
      <c r="E240" s="2" t="s">
        <v>488</v>
      </c>
      <c r="F240" s="2" t="s">
        <v>519</v>
      </c>
      <c r="G240" s="2" t="s">
        <v>551</v>
      </c>
      <c r="H240" s="2" t="s">
        <v>554</v>
      </c>
      <c r="I240" s="4">
        <v>1</v>
      </c>
      <c r="J240" s="5">
        <v>201780</v>
      </c>
      <c r="K240" s="5">
        <f>ROUND(IF(ISNUMBER(J240), I240*J240, I240),5)</f>
        <v>201780</v>
      </c>
    </row>
    <row r="241" spans="1:11" x14ac:dyDescent="0.3">
      <c r="A241" s="2" t="s">
        <v>11</v>
      </c>
      <c r="B241" s="3">
        <v>45843</v>
      </c>
      <c r="C241" s="2" t="s">
        <v>152</v>
      </c>
      <c r="D241" s="2" t="s">
        <v>378</v>
      </c>
      <c r="E241" s="2" t="s">
        <v>447</v>
      </c>
      <c r="F241" s="2" t="s">
        <v>540</v>
      </c>
      <c r="G241" s="2" t="s">
        <v>551</v>
      </c>
      <c r="H241" s="2" t="s">
        <v>554</v>
      </c>
      <c r="I241" s="4">
        <v>2</v>
      </c>
      <c r="J241" s="5">
        <v>0</v>
      </c>
      <c r="K241" s="5">
        <f>ROUND(IF(ISNUMBER(J241), I241*J241, I241),5)</f>
        <v>0</v>
      </c>
    </row>
    <row r="242" spans="1:11" x14ac:dyDescent="0.3">
      <c r="A242" s="2" t="s">
        <v>11</v>
      </c>
      <c r="B242" s="3">
        <v>45843</v>
      </c>
      <c r="C242" s="2" t="s">
        <v>153</v>
      </c>
      <c r="D242" s="2" t="s">
        <v>313</v>
      </c>
      <c r="E242" s="2" t="s">
        <v>446</v>
      </c>
      <c r="F242" s="2" t="s">
        <v>519</v>
      </c>
      <c r="G242" s="2" t="s">
        <v>549</v>
      </c>
      <c r="H242" s="2" t="s">
        <v>553</v>
      </c>
      <c r="I242" s="4">
        <v>1</v>
      </c>
      <c r="J242" s="5">
        <v>64000</v>
      </c>
      <c r="K242" s="5">
        <f>ROUND(IF(ISNUMBER(J242), I242*J242, I242),5)</f>
        <v>64000</v>
      </c>
    </row>
    <row r="243" spans="1:11" x14ac:dyDescent="0.3">
      <c r="A243" s="2" t="s">
        <v>11</v>
      </c>
      <c r="B243" s="3">
        <v>45843</v>
      </c>
      <c r="C243" s="2" t="s">
        <v>154</v>
      </c>
      <c r="D243" s="2" t="s">
        <v>313</v>
      </c>
      <c r="E243" s="2" t="s">
        <v>446</v>
      </c>
      <c r="F243" s="2" t="s">
        <v>519</v>
      </c>
      <c r="G243" s="2" t="s">
        <v>549</v>
      </c>
      <c r="H243" s="2" t="s">
        <v>553</v>
      </c>
      <c r="I243" s="4">
        <v>3</v>
      </c>
      <c r="J243" s="5">
        <v>64000</v>
      </c>
      <c r="K243" s="5">
        <f>ROUND(IF(ISNUMBER(J243), I243*J243, I243),5)</f>
        <v>192000</v>
      </c>
    </row>
    <row r="244" spans="1:11" x14ac:dyDescent="0.3">
      <c r="A244" s="2" t="s">
        <v>11</v>
      </c>
      <c r="B244" s="3">
        <v>45845</v>
      </c>
      <c r="C244" s="2" t="s">
        <v>155</v>
      </c>
      <c r="D244" s="2" t="s">
        <v>386</v>
      </c>
      <c r="E244" s="2" t="s">
        <v>442</v>
      </c>
      <c r="F244" s="2" t="s">
        <v>540</v>
      </c>
      <c r="G244" s="2" t="s">
        <v>551</v>
      </c>
      <c r="H244" s="2" t="s">
        <v>553</v>
      </c>
      <c r="I244" s="4">
        <v>3</v>
      </c>
      <c r="J244" s="5">
        <v>43000</v>
      </c>
      <c r="K244" s="5">
        <f>ROUND(IF(ISNUMBER(J244), I244*J244, I244),5)</f>
        <v>129000</v>
      </c>
    </row>
    <row r="245" spans="1:11" x14ac:dyDescent="0.3">
      <c r="A245" s="2" t="s">
        <v>11</v>
      </c>
      <c r="B245" s="3">
        <v>45845</v>
      </c>
      <c r="C245" s="2" t="s">
        <v>156</v>
      </c>
      <c r="D245" s="2" t="s">
        <v>387</v>
      </c>
      <c r="E245" s="2" t="s">
        <v>446</v>
      </c>
      <c r="F245" s="2" t="s">
        <v>519</v>
      </c>
      <c r="G245" s="2" t="s">
        <v>551</v>
      </c>
      <c r="H245" s="2" t="s">
        <v>553</v>
      </c>
      <c r="I245" s="4">
        <v>1</v>
      </c>
      <c r="J245" s="5">
        <v>64000</v>
      </c>
      <c r="K245" s="5">
        <f>ROUND(IF(ISNUMBER(J245), I245*J245, I245),5)</f>
        <v>64000</v>
      </c>
    </row>
    <row r="246" spans="1:11" x14ac:dyDescent="0.3">
      <c r="A246" s="2" t="s">
        <v>11</v>
      </c>
      <c r="B246" s="3">
        <v>45845</v>
      </c>
      <c r="C246" s="2" t="s">
        <v>157</v>
      </c>
      <c r="D246" s="2" t="s">
        <v>313</v>
      </c>
      <c r="E246" s="2" t="s">
        <v>444</v>
      </c>
      <c r="F246" s="2" t="s">
        <v>519</v>
      </c>
      <c r="G246" s="2" t="s">
        <v>549</v>
      </c>
      <c r="H246" s="2" t="s">
        <v>553</v>
      </c>
      <c r="I246" s="4">
        <v>2</v>
      </c>
      <c r="J246" s="5">
        <v>130000</v>
      </c>
      <c r="K246" s="5">
        <f>ROUND(IF(ISNUMBER(J246), I246*J246, I246),5)</f>
        <v>260000</v>
      </c>
    </row>
    <row r="247" spans="1:11" x14ac:dyDescent="0.3">
      <c r="A247" s="2" t="s">
        <v>11</v>
      </c>
      <c r="B247" s="3">
        <v>45846</v>
      </c>
      <c r="C247" s="2" t="s">
        <v>158</v>
      </c>
      <c r="D247" s="2" t="s">
        <v>388</v>
      </c>
      <c r="E247" s="2" t="s">
        <v>465</v>
      </c>
      <c r="F247" s="2" t="s">
        <v>544</v>
      </c>
      <c r="G247" s="2" t="s">
        <v>548</v>
      </c>
      <c r="H247" s="2" t="s">
        <v>553</v>
      </c>
      <c r="I247" s="4">
        <v>1</v>
      </c>
      <c r="J247" s="5">
        <v>309815</v>
      </c>
      <c r="K247" s="5">
        <f>ROUND(IF(ISNUMBER(J247), I247*J247, I247),5)</f>
        <v>309815</v>
      </c>
    </row>
    <row r="248" spans="1:11" x14ac:dyDescent="0.3">
      <c r="A248" s="2" t="s">
        <v>11</v>
      </c>
      <c r="B248" s="3">
        <v>45846</v>
      </c>
      <c r="C248" s="2" t="s">
        <v>159</v>
      </c>
      <c r="D248" s="2" t="s">
        <v>380</v>
      </c>
      <c r="E248" s="2" t="s">
        <v>488</v>
      </c>
      <c r="F248" s="2" t="s">
        <v>519</v>
      </c>
      <c r="G248" s="2" t="s">
        <v>548</v>
      </c>
      <c r="H248" s="2" t="s">
        <v>553</v>
      </c>
      <c r="I248" s="4">
        <v>1</v>
      </c>
      <c r="J248" s="5">
        <v>96000</v>
      </c>
      <c r="K248" s="5">
        <f>ROUND(IF(ISNUMBER(J248), I248*J248, I248),5)</f>
        <v>96000</v>
      </c>
    </row>
    <row r="249" spans="1:11" x14ac:dyDescent="0.3">
      <c r="A249" s="2" t="s">
        <v>11</v>
      </c>
      <c r="B249" s="3">
        <v>45846</v>
      </c>
      <c r="C249" s="2" t="s">
        <v>159</v>
      </c>
      <c r="D249" s="2" t="s">
        <v>380</v>
      </c>
      <c r="E249" s="2" t="s">
        <v>447</v>
      </c>
      <c r="F249" s="2" t="s">
        <v>540</v>
      </c>
      <c r="G249" s="2" t="s">
        <v>548</v>
      </c>
      <c r="H249" s="2" t="s">
        <v>553</v>
      </c>
      <c r="I249" s="4">
        <v>2</v>
      </c>
      <c r="J249" s="5">
        <v>36000</v>
      </c>
      <c r="K249" s="5">
        <f>ROUND(IF(ISNUMBER(J249), I249*J249, I249),5)</f>
        <v>72000</v>
      </c>
    </row>
    <row r="250" spans="1:11" x14ac:dyDescent="0.3">
      <c r="A250" s="2" t="s">
        <v>12</v>
      </c>
      <c r="B250" s="3">
        <v>45847</v>
      </c>
      <c r="C250" s="2" t="s">
        <v>160</v>
      </c>
      <c r="D250" s="2" t="s">
        <v>389</v>
      </c>
      <c r="E250" s="2" t="s">
        <v>455</v>
      </c>
      <c r="F250" s="2" t="s">
        <v>542</v>
      </c>
      <c r="G250" s="2"/>
      <c r="H250" s="2" t="s">
        <v>553</v>
      </c>
      <c r="I250" s="4">
        <v>-8</v>
      </c>
      <c r="J250" s="5">
        <v>3800</v>
      </c>
      <c r="K250" s="5">
        <f>ROUND(IF(ISNUMBER(J250), I250*J250, I250),5)</f>
        <v>-30400</v>
      </c>
    </row>
    <row r="251" spans="1:11" x14ac:dyDescent="0.3">
      <c r="A251" s="2" t="s">
        <v>11</v>
      </c>
      <c r="B251" s="3">
        <v>45847</v>
      </c>
      <c r="C251" s="2" t="s">
        <v>161</v>
      </c>
      <c r="D251" s="2" t="s">
        <v>390</v>
      </c>
      <c r="E251" s="2" t="s">
        <v>513</v>
      </c>
      <c r="F251" s="2" t="s">
        <v>546</v>
      </c>
      <c r="G251" s="2" t="s">
        <v>548</v>
      </c>
      <c r="H251" s="2" t="s">
        <v>553</v>
      </c>
      <c r="I251" s="4">
        <v>3</v>
      </c>
      <c r="J251" s="5">
        <v>15000</v>
      </c>
      <c r="K251" s="5">
        <f>ROUND(IF(ISNUMBER(J251), I251*J251, I251),5)</f>
        <v>45000</v>
      </c>
    </row>
    <row r="252" spans="1:11" x14ac:dyDescent="0.3">
      <c r="A252" s="2" t="s">
        <v>11</v>
      </c>
      <c r="B252" s="3">
        <v>45849</v>
      </c>
      <c r="C252" s="2" t="s">
        <v>162</v>
      </c>
      <c r="D252" s="2" t="s">
        <v>391</v>
      </c>
      <c r="E252" s="2" t="s">
        <v>454</v>
      </c>
      <c r="F252" s="2" t="s">
        <v>543</v>
      </c>
      <c r="G252" s="2" t="s">
        <v>549</v>
      </c>
      <c r="H252" s="2" t="s">
        <v>553</v>
      </c>
      <c r="I252" s="4">
        <v>1</v>
      </c>
      <c r="J252" s="5">
        <v>19850</v>
      </c>
      <c r="K252" s="5">
        <f>ROUND(IF(ISNUMBER(J252), I252*J252, I252),5)</f>
        <v>19850</v>
      </c>
    </row>
    <row r="253" spans="1:11" x14ac:dyDescent="0.3">
      <c r="A253" s="2" t="s">
        <v>11</v>
      </c>
      <c r="B253" s="3">
        <v>45849</v>
      </c>
      <c r="C253" s="2" t="s">
        <v>162</v>
      </c>
      <c r="D253" s="2" t="s">
        <v>391</v>
      </c>
      <c r="E253" s="2" t="s">
        <v>454</v>
      </c>
      <c r="F253" s="2" t="s">
        <v>543</v>
      </c>
      <c r="G253" s="2" t="s">
        <v>549</v>
      </c>
      <c r="H253" s="2" t="s">
        <v>553</v>
      </c>
      <c r="I253" s="4">
        <v>2</v>
      </c>
      <c r="J253" s="5">
        <v>24800</v>
      </c>
      <c r="K253" s="5">
        <f>ROUND(IF(ISNUMBER(J253), I253*J253, I253),5)</f>
        <v>49600</v>
      </c>
    </row>
    <row r="254" spans="1:11" x14ac:dyDescent="0.3">
      <c r="A254" s="2" t="s">
        <v>11</v>
      </c>
      <c r="B254" s="3">
        <v>45849</v>
      </c>
      <c r="C254" s="2" t="s">
        <v>163</v>
      </c>
      <c r="D254" s="2" t="s">
        <v>392</v>
      </c>
      <c r="E254" s="2" t="s">
        <v>454</v>
      </c>
      <c r="F254" s="2" t="s">
        <v>543</v>
      </c>
      <c r="G254" s="2" t="s">
        <v>552</v>
      </c>
      <c r="H254" s="2" t="s">
        <v>554</v>
      </c>
      <c r="I254" s="4">
        <v>1</v>
      </c>
      <c r="J254" s="5">
        <v>1500</v>
      </c>
      <c r="K254" s="5">
        <f>ROUND(IF(ISNUMBER(J254), I254*J254, I254),5)</f>
        <v>1500</v>
      </c>
    </row>
    <row r="255" spans="1:11" x14ac:dyDescent="0.3">
      <c r="A255" s="2" t="s">
        <v>11</v>
      </c>
      <c r="B255" s="3">
        <v>45849</v>
      </c>
      <c r="C255" s="2" t="s">
        <v>164</v>
      </c>
      <c r="D255" s="2" t="s">
        <v>393</v>
      </c>
      <c r="E255" s="2" t="s">
        <v>492</v>
      </c>
      <c r="F255" s="2" t="s">
        <v>542</v>
      </c>
      <c r="G255" s="2" t="s">
        <v>550</v>
      </c>
      <c r="H255" s="2" t="s">
        <v>554</v>
      </c>
      <c r="I255" s="4">
        <v>3</v>
      </c>
      <c r="J255" s="5">
        <v>3800</v>
      </c>
      <c r="K255" s="5">
        <f>ROUND(IF(ISNUMBER(J255), I255*J255, I255),5)</f>
        <v>11400</v>
      </c>
    </row>
    <row r="256" spans="1:11" x14ac:dyDescent="0.3">
      <c r="A256" s="2" t="s">
        <v>11</v>
      </c>
      <c r="B256" s="3">
        <v>45849</v>
      </c>
      <c r="C256" s="2" t="s">
        <v>165</v>
      </c>
      <c r="D256" s="2" t="s">
        <v>394</v>
      </c>
      <c r="E256" s="2" t="s">
        <v>492</v>
      </c>
      <c r="F256" s="2" t="s">
        <v>542</v>
      </c>
      <c r="G256" s="2" t="s">
        <v>550</v>
      </c>
      <c r="H256" s="2" t="s">
        <v>554</v>
      </c>
      <c r="I256" s="4">
        <v>2</v>
      </c>
      <c r="J256" s="5">
        <v>3800</v>
      </c>
      <c r="K256" s="5">
        <f>ROUND(IF(ISNUMBER(J256), I256*J256, I256),5)</f>
        <v>7600</v>
      </c>
    </row>
    <row r="257" spans="1:11" x14ac:dyDescent="0.3">
      <c r="A257" s="2" t="s">
        <v>11</v>
      </c>
      <c r="B257" s="3">
        <v>45849</v>
      </c>
      <c r="C257" s="2" t="s">
        <v>165</v>
      </c>
      <c r="D257" s="2" t="s">
        <v>394</v>
      </c>
      <c r="E257" s="2" t="s">
        <v>490</v>
      </c>
      <c r="F257" s="2" t="s">
        <v>542</v>
      </c>
      <c r="G257" s="2" t="s">
        <v>550</v>
      </c>
      <c r="H257" s="2" t="s">
        <v>554</v>
      </c>
      <c r="I257" s="4">
        <v>2</v>
      </c>
      <c r="J257" s="5">
        <v>6000</v>
      </c>
      <c r="K257" s="5">
        <f>ROUND(IF(ISNUMBER(J257), I257*J257, I257),5)</f>
        <v>12000</v>
      </c>
    </row>
    <row r="258" spans="1:11" x14ac:dyDescent="0.3">
      <c r="A258" s="2" t="s">
        <v>11</v>
      </c>
      <c r="B258" s="3">
        <v>45852</v>
      </c>
      <c r="C258" s="2" t="s">
        <v>166</v>
      </c>
      <c r="D258" s="2" t="s">
        <v>395</v>
      </c>
      <c r="E258" s="2" t="s">
        <v>481</v>
      </c>
      <c r="F258" s="2" t="s">
        <v>519</v>
      </c>
      <c r="G258" s="2" t="s">
        <v>548</v>
      </c>
      <c r="H258" s="2" t="s">
        <v>553</v>
      </c>
      <c r="I258" s="4">
        <v>1</v>
      </c>
      <c r="J258" s="5">
        <v>512325</v>
      </c>
      <c r="K258" s="5">
        <f>ROUND(IF(ISNUMBER(J258), I258*J258, I258),5)</f>
        <v>512325</v>
      </c>
    </row>
    <row r="259" spans="1:11" x14ac:dyDescent="0.3">
      <c r="A259" s="2" t="s">
        <v>11</v>
      </c>
      <c r="B259" s="3">
        <v>45852</v>
      </c>
      <c r="C259" s="2" t="s">
        <v>166</v>
      </c>
      <c r="D259" s="2" t="s">
        <v>395</v>
      </c>
      <c r="E259" s="2" t="s">
        <v>483</v>
      </c>
      <c r="F259" s="2" t="s">
        <v>519</v>
      </c>
      <c r="G259" s="2" t="s">
        <v>548</v>
      </c>
      <c r="H259" s="2" t="s">
        <v>553</v>
      </c>
      <c r="I259" s="4">
        <v>1</v>
      </c>
      <c r="J259" s="5"/>
      <c r="K259" s="5"/>
    </row>
    <row r="260" spans="1:11" x14ac:dyDescent="0.3">
      <c r="A260" s="2" t="s">
        <v>11</v>
      </c>
      <c r="B260" s="3">
        <v>45852</v>
      </c>
      <c r="C260" s="2" t="s">
        <v>167</v>
      </c>
      <c r="D260" s="2" t="s">
        <v>316</v>
      </c>
      <c r="E260" s="2" t="s">
        <v>449</v>
      </c>
      <c r="F260" s="2" t="s">
        <v>450</v>
      </c>
      <c r="G260" s="2" t="s">
        <v>551</v>
      </c>
      <c r="H260" s="2" t="s">
        <v>553</v>
      </c>
      <c r="I260" s="4">
        <v>1</v>
      </c>
      <c r="J260" s="5">
        <v>64000</v>
      </c>
      <c r="K260" s="5">
        <f>ROUND(IF(ISNUMBER(J260), I260*J260, I260),5)</f>
        <v>64000</v>
      </c>
    </row>
    <row r="261" spans="1:11" x14ac:dyDescent="0.3">
      <c r="A261" s="2" t="s">
        <v>11</v>
      </c>
      <c r="B261" s="3">
        <v>45852</v>
      </c>
      <c r="C261" s="2" t="s">
        <v>167</v>
      </c>
      <c r="D261" s="2" t="s">
        <v>316</v>
      </c>
      <c r="E261" s="2" t="s">
        <v>450</v>
      </c>
      <c r="F261" s="2" t="s">
        <v>450</v>
      </c>
      <c r="G261" s="2" t="s">
        <v>551</v>
      </c>
      <c r="H261" s="2" t="s">
        <v>553</v>
      </c>
      <c r="I261" s="4">
        <v>1</v>
      </c>
      <c r="J261" s="5">
        <v>20000</v>
      </c>
      <c r="K261" s="5">
        <f>ROUND(IF(ISNUMBER(J261), I261*J261, I261),5)</f>
        <v>20000</v>
      </c>
    </row>
    <row r="262" spans="1:11" x14ac:dyDescent="0.3">
      <c r="A262" s="2" t="s">
        <v>11</v>
      </c>
      <c r="B262" s="3">
        <v>45852</v>
      </c>
      <c r="C262" s="2" t="s">
        <v>168</v>
      </c>
      <c r="D262" s="2" t="s">
        <v>396</v>
      </c>
      <c r="E262" s="2" t="s">
        <v>474</v>
      </c>
      <c r="F262" s="2" t="s">
        <v>542</v>
      </c>
      <c r="G262" s="2" t="s">
        <v>550</v>
      </c>
      <c r="H262" s="2" t="s">
        <v>554</v>
      </c>
      <c r="I262" s="4">
        <v>1</v>
      </c>
      <c r="J262" s="5">
        <v>6000</v>
      </c>
      <c r="K262" s="5">
        <f>ROUND(IF(ISNUMBER(J262), I262*J262, I262),5)</f>
        <v>6000</v>
      </c>
    </row>
    <row r="263" spans="1:11" x14ac:dyDescent="0.3">
      <c r="A263" s="2" t="s">
        <v>11</v>
      </c>
      <c r="B263" s="3">
        <v>45853</v>
      </c>
      <c r="C263" s="2" t="s">
        <v>169</v>
      </c>
      <c r="D263" s="2" t="s">
        <v>374</v>
      </c>
      <c r="E263" s="2" t="s">
        <v>442</v>
      </c>
      <c r="F263" s="2" t="s">
        <v>540</v>
      </c>
      <c r="G263" s="2" t="s">
        <v>552</v>
      </c>
      <c r="H263" s="2" t="s">
        <v>554</v>
      </c>
      <c r="I263" s="4">
        <v>2</v>
      </c>
      <c r="J263" s="5">
        <v>45076</v>
      </c>
      <c r="K263" s="5">
        <f>ROUND(IF(ISNUMBER(J263), I263*J263, I263),5)</f>
        <v>90152</v>
      </c>
    </row>
    <row r="264" spans="1:11" x14ac:dyDescent="0.3">
      <c r="A264" s="2" t="s">
        <v>11</v>
      </c>
      <c r="B264" s="3">
        <v>45853</v>
      </c>
      <c r="C264" s="2" t="s">
        <v>170</v>
      </c>
      <c r="D264" s="2" t="s">
        <v>397</v>
      </c>
      <c r="E264" s="2" t="s">
        <v>466</v>
      </c>
      <c r="F264" s="2" t="s">
        <v>540</v>
      </c>
      <c r="G264" s="2" t="s">
        <v>551</v>
      </c>
      <c r="H264" s="2" t="s">
        <v>554</v>
      </c>
      <c r="I264" s="4">
        <v>2</v>
      </c>
      <c r="J264" s="5">
        <v>74000</v>
      </c>
      <c r="K264" s="5">
        <f>ROUND(IF(ISNUMBER(J264), I264*J264, I264),5)</f>
        <v>148000</v>
      </c>
    </row>
    <row r="265" spans="1:11" x14ac:dyDescent="0.3">
      <c r="A265" s="2" t="s">
        <v>11</v>
      </c>
      <c r="B265" s="3">
        <v>45853</v>
      </c>
      <c r="C265" s="2" t="s">
        <v>171</v>
      </c>
      <c r="D265" s="2" t="s">
        <v>344</v>
      </c>
      <c r="E265" s="2" t="s">
        <v>492</v>
      </c>
      <c r="F265" s="2" t="s">
        <v>542</v>
      </c>
      <c r="G265" s="2" t="s">
        <v>550</v>
      </c>
      <c r="H265" s="2" t="s">
        <v>554</v>
      </c>
      <c r="I265" s="4">
        <v>2</v>
      </c>
      <c r="J265" s="5">
        <v>3894</v>
      </c>
      <c r="K265" s="5">
        <f>ROUND(IF(ISNUMBER(J265), I265*J265, I265),5)</f>
        <v>7788</v>
      </c>
    </row>
    <row r="266" spans="1:11" x14ac:dyDescent="0.3">
      <c r="A266" s="2" t="s">
        <v>11</v>
      </c>
      <c r="B266" s="3">
        <v>45853</v>
      </c>
      <c r="C266" s="2" t="s">
        <v>171</v>
      </c>
      <c r="D266" s="2" t="s">
        <v>344</v>
      </c>
      <c r="E266" s="2" t="s">
        <v>490</v>
      </c>
      <c r="F266" s="2" t="s">
        <v>542</v>
      </c>
      <c r="G266" s="2" t="s">
        <v>550</v>
      </c>
      <c r="H266" s="2" t="s">
        <v>554</v>
      </c>
      <c r="I266" s="4">
        <v>2</v>
      </c>
      <c r="J266" s="5">
        <v>5959</v>
      </c>
      <c r="K266" s="5">
        <f>ROUND(IF(ISNUMBER(J266), I266*J266, I266),5)</f>
        <v>11918</v>
      </c>
    </row>
    <row r="267" spans="1:11" x14ac:dyDescent="0.3">
      <c r="A267" s="2" t="s">
        <v>11</v>
      </c>
      <c r="B267" s="3">
        <v>45853</v>
      </c>
      <c r="C267" s="2" t="s">
        <v>171</v>
      </c>
      <c r="D267" s="2" t="s">
        <v>344</v>
      </c>
      <c r="E267" s="2" t="s">
        <v>480</v>
      </c>
      <c r="F267" s="2" t="s">
        <v>542</v>
      </c>
      <c r="G267" s="2" t="s">
        <v>550</v>
      </c>
      <c r="H267" s="2" t="s">
        <v>554</v>
      </c>
      <c r="I267" s="4">
        <v>1</v>
      </c>
      <c r="J267" s="5">
        <v>7906</v>
      </c>
      <c r="K267" s="5">
        <f>ROUND(IF(ISNUMBER(J267), I267*J267, I267),5)</f>
        <v>7906</v>
      </c>
    </row>
    <row r="268" spans="1:11" x14ac:dyDescent="0.3">
      <c r="A268" s="2" t="s">
        <v>11</v>
      </c>
      <c r="B268" s="3">
        <v>45853</v>
      </c>
      <c r="C268" s="2" t="s">
        <v>171</v>
      </c>
      <c r="D268" s="2" t="s">
        <v>344</v>
      </c>
      <c r="E268" s="2" t="s">
        <v>452</v>
      </c>
      <c r="F268" s="2" t="s">
        <v>542</v>
      </c>
      <c r="G268" s="2" t="s">
        <v>550</v>
      </c>
      <c r="H268" s="2" t="s">
        <v>554</v>
      </c>
      <c r="I268" s="4">
        <v>1</v>
      </c>
      <c r="J268" s="5">
        <v>10384</v>
      </c>
      <c r="K268" s="5">
        <f>ROUND(IF(ISNUMBER(J268), I268*J268, I268),5)</f>
        <v>10384</v>
      </c>
    </row>
    <row r="269" spans="1:11" x14ac:dyDescent="0.3">
      <c r="A269" s="2" t="s">
        <v>11</v>
      </c>
      <c r="B269" s="3">
        <v>45854</v>
      </c>
      <c r="C269" s="2" t="s">
        <v>172</v>
      </c>
      <c r="D269" s="2" t="s">
        <v>380</v>
      </c>
      <c r="E269" s="2" t="s">
        <v>500</v>
      </c>
      <c r="F269" s="2" t="s">
        <v>519</v>
      </c>
      <c r="G269" s="2" t="s">
        <v>548</v>
      </c>
      <c r="H269" s="2" t="s">
        <v>553</v>
      </c>
      <c r="I269" s="4">
        <v>1</v>
      </c>
      <c r="J269" s="5">
        <v>233887.5</v>
      </c>
      <c r="K269" s="5">
        <f>ROUND(IF(ISNUMBER(J269), I269*J269, I269),5)</f>
        <v>233887.5</v>
      </c>
    </row>
    <row r="270" spans="1:11" x14ac:dyDescent="0.3">
      <c r="A270" s="2" t="s">
        <v>11</v>
      </c>
      <c r="B270" s="3">
        <v>45854</v>
      </c>
      <c r="C270" s="2" t="s">
        <v>172</v>
      </c>
      <c r="D270" s="2" t="s">
        <v>380</v>
      </c>
      <c r="E270" s="2" t="s">
        <v>442</v>
      </c>
      <c r="F270" s="2" t="s">
        <v>540</v>
      </c>
      <c r="G270" s="2" t="s">
        <v>548</v>
      </c>
      <c r="H270" s="2" t="s">
        <v>553</v>
      </c>
      <c r="I270" s="4">
        <v>2</v>
      </c>
      <c r="J270" s="5">
        <v>41512.5</v>
      </c>
      <c r="K270" s="5">
        <f>ROUND(IF(ISNUMBER(J270), I270*J270, I270),5)</f>
        <v>83025</v>
      </c>
    </row>
    <row r="271" spans="1:11" x14ac:dyDescent="0.3">
      <c r="A271" s="2" t="s">
        <v>11</v>
      </c>
      <c r="B271" s="3">
        <v>45854</v>
      </c>
      <c r="C271" s="2" t="s">
        <v>173</v>
      </c>
      <c r="D271" s="2" t="s">
        <v>398</v>
      </c>
      <c r="E271" s="2" t="s">
        <v>472</v>
      </c>
      <c r="F271" s="2" t="s">
        <v>544</v>
      </c>
      <c r="G271" s="2" t="s">
        <v>549</v>
      </c>
      <c r="H271" s="2" t="s">
        <v>554</v>
      </c>
      <c r="I271" s="4">
        <v>1</v>
      </c>
      <c r="J271" s="5">
        <v>5900</v>
      </c>
      <c r="K271" s="5">
        <f>ROUND(IF(ISNUMBER(J271), I271*J271, I271),5)</f>
        <v>5900</v>
      </c>
    </row>
    <row r="272" spans="1:11" x14ac:dyDescent="0.3">
      <c r="A272" s="2" t="s">
        <v>11</v>
      </c>
      <c r="B272" s="3">
        <v>45854</v>
      </c>
      <c r="C272" s="2" t="s">
        <v>174</v>
      </c>
      <c r="D272" s="2" t="s">
        <v>399</v>
      </c>
      <c r="E272" s="2" t="s">
        <v>459</v>
      </c>
      <c r="F272" s="2" t="s">
        <v>519</v>
      </c>
      <c r="G272" s="2" t="s">
        <v>548</v>
      </c>
      <c r="H272" s="2" t="s">
        <v>553</v>
      </c>
      <c r="I272" s="4">
        <v>1</v>
      </c>
      <c r="J272" s="5">
        <v>588000</v>
      </c>
      <c r="K272" s="5">
        <f>ROUND(IF(ISNUMBER(J272), I272*J272, I272),5)</f>
        <v>588000</v>
      </c>
    </row>
    <row r="273" spans="1:11" x14ac:dyDescent="0.3">
      <c r="A273" s="2" t="s">
        <v>11</v>
      </c>
      <c r="B273" s="3">
        <v>45854</v>
      </c>
      <c r="C273" s="2" t="s">
        <v>174</v>
      </c>
      <c r="D273" s="2" t="s">
        <v>399</v>
      </c>
      <c r="E273" s="2" t="s">
        <v>495</v>
      </c>
      <c r="F273" s="2" t="s">
        <v>540</v>
      </c>
      <c r="G273" s="2" t="s">
        <v>548</v>
      </c>
      <c r="H273" s="2" t="s">
        <v>553</v>
      </c>
      <c r="I273" s="4">
        <v>4</v>
      </c>
      <c r="J273" s="5">
        <v>109000</v>
      </c>
      <c r="K273" s="5">
        <f>ROUND(IF(ISNUMBER(J273), I273*J273, I273),5)</f>
        <v>436000</v>
      </c>
    </row>
    <row r="274" spans="1:11" x14ac:dyDescent="0.3">
      <c r="A274" s="2" t="s">
        <v>11</v>
      </c>
      <c r="B274" s="3">
        <v>45854</v>
      </c>
      <c r="C274" s="2" t="s">
        <v>174</v>
      </c>
      <c r="D274" s="2" t="s">
        <v>399</v>
      </c>
      <c r="E274" s="2" t="s">
        <v>460</v>
      </c>
      <c r="F274" s="2" t="s">
        <v>519</v>
      </c>
      <c r="G274" s="2" t="s">
        <v>548</v>
      </c>
      <c r="H274" s="2" t="s">
        <v>553</v>
      </c>
      <c r="I274" s="4">
        <v>1</v>
      </c>
      <c r="J274" s="5"/>
      <c r="K274" s="5"/>
    </row>
    <row r="275" spans="1:11" x14ac:dyDescent="0.3">
      <c r="A275" s="2" t="s">
        <v>11</v>
      </c>
      <c r="B275" s="3">
        <v>45855</v>
      </c>
      <c r="C275" s="2" t="s">
        <v>175</v>
      </c>
      <c r="D275" s="2" t="s">
        <v>374</v>
      </c>
      <c r="E275" s="2" t="s">
        <v>514</v>
      </c>
      <c r="F275" s="2" t="s">
        <v>519</v>
      </c>
      <c r="G275" s="2" t="s">
        <v>551</v>
      </c>
      <c r="H275" s="2" t="s">
        <v>554</v>
      </c>
      <c r="I275" s="4">
        <v>1</v>
      </c>
      <c r="J275" s="5">
        <v>731600</v>
      </c>
      <c r="K275" s="5">
        <f>ROUND(IF(ISNUMBER(J275), I275*J275, I275),5)</f>
        <v>731600</v>
      </c>
    </row>
    <row r="276" spans="1:11" x14ac:dyDescent="0.3">
      <c r="A276" s="2" t="s">
        <v>11</v>
      </c>
      <c r="B276" s="3">
        <v>45855</v>
      </c>
      <c r="C276" s="2" t="s">
        <v>175</v>
      </c>
      <c r="D276" s="2" t="s">
        <v>374</v>
      </c>
      <c r="E276" s="2" t="s">
        <v>451</v>
      </c>
      <c r="F276" s="2" t="s">
        <v>540</v>
      </c>
      <c r="G276" s="2" t="s">
        <v>551</v>
      </c>
      <c r="H276" s="2" t="s">
        <v>554</v>
      </c>
      <c r="I276" s="4">
        <v>3</v>
      </c>
      <c r="J276" s="5">
        <v>136880</v>
      </c>
      <c r="K276" s="5">
        <f>ROUND(IF(ISNUMBER(J276), I276*J276, I276),5)</f>
        <v>410640</v>
      </c>
    </row>
    <row r="277" spans="1:11" x14ac:dyDescent="0.3">
      <c r="A277" s="2" t="s">
        <v>11</v>
      </c>
      <c r="B277" s="3">
        <v>45855</v>
      </c>
      <c r="C277" s="2" t="s">
        <v>175</v>
      </c>
      <c r="D277" s="2" t="s">
        <v>374</v>
      </c>
      <c r="E277" s="2" t="s">
        <v>460</v>
      </c>
      <c r="F277" s="2" t="s">
        <v>519</v>
      </c>
      <c r="G277" s="2" t="s">
        <v>551</v>
      </c>
      <c r="H277" s="2" t="s">
        <v>554</v>
      </c>
      <c r="I277" s="4">
        <v>1</v>
      </c>
      <c r="J277" s="5">
        <v>64900</v>
      </c>
      <c r="K277" s="5">
        <f>ROUND(IF(ISNUMBER(J277), I277*J277, I277),5)</f>
        <v>64900</v>
      </c>
    </row>
    <row r="278" spans="1:11" x14ac:dyDescent="0.3">
      <c r="A278" s="2" t="s">
        <v>11</v>
      </c>
      <c r="B278" s="3">
        <v>45855</v>
      </c>
      <c r="C278" s="2" t="s">
        <v>176</v>
      </c>
      <c r="D278" s="2" t="s">
        <v>340</v>
      </c>
      <c r="E278" s="2" t="s">
        <v>481</v>
      </c>
      <c r="F278" s="2" t="s">
        <v>519</v>
      </c>
      <c r="G278" s="2" t="s">
        <v>548</v>
      </c>
      <c r="H278" s="2" t="s">
        <v>553</v>
      </c>
      <c r="I278" s="4">
        <v>1</v>
      </c>
      <c r="J278" s="5">
        <v>482000</v>
      </c>
      <c r="K278" s="5">
        <f>ROUND(IF(ISNUMBER(J278), I278*J278, I278),5)</f>
        <v>482000</v>
      </c>
    </row>
    <row r="279" spans="1:11" x14ac:dyDescent="0.3">
      <c r="A279" s="2" t="s">
        <v>11</v>
      </c>
      <c r="B279" s="3">
        <v>45855</v>
      </c>
      <c r="C279" s="2" t="s">
        <v>176</v>
      </c>
      <c r="D279" s="2" t="s">
        <v>340</v>
      </c>
      <c r="E279" s="2" t="s">
        <v>442</v>
      </c>
      <c r="F279" s="2" t="s">
        <v>540</v>
      </c>
      <c r="G279" s="2" t="s">
        <v>548</v>
      </c>
      <c r="H279" s="2" t="s">
        <v>553</v>
      </c>
      <c r="I279" s="4">
        <v>4</v>
      </c>
      <c r="J279" s="5">
        <v>42000</v>
      </c>
      <c r="K279" s="5">
        <f>ROUND(IF(ISNUMBER(J279), I279*J279, I279),5)</f>
        <v>168000</v>
      </c>
    </row>
    <row r="280" spans="1:11" x14ac:dyDescent="0.3">
      <c r="A280" s="2" t="s">
        <v>11</v>
      </c>
      <c r="B280" s="3">
        <v>45855</v>
      </c>
      <c r="C280" s="2" t="s">
        <v>176</v>
      </c>
      <c r="D280" s="2" t="s">
        <v>340</v>
      </c>
      <c r="E280" s="2" t="s">
        <v>441</v>
      </c>
      <c r="F280" s="2" t="s">
        <v>547</v>
      </c>
      <c r="G280" s="2" t="s">
        <v>548</v>
      </c>
      <c r="H280" s="2" t="s">
        <v>553</v>
      </c>
      <c r="I280" s="4"/>
      <c r="J280" s="5">
        <v>-6000</v>
      </c>
      <c r="K280" s="5">
        <v>-6000</v>
      </c>
    </row>
    <row r="281" spans="1:11" x14ac:dyDescent="0.3">
      <c r="A281" s="2" t="s">
        <v>11</v>
      </c>
      <c r="B281" s="3">
        <v>45855</v>
      </c>
      <c r="C281" s="2" t="s">
        <v>176</v>
      </c>
      <c r="D281" s="2" t="s">
        <v>340</v>
      </c>
      <c r="E281" s="2" t="s">
        <v>483</v>
      </c>
      <c r="F281" s="2" t="s">
        <v>519</v>
      </c>
      <c r="G281" s="2" t="s">
        <v>548</v>
      </c>
      <c r="H281" s="2" t="s">
        <v>553</v>
      </c>
      <c r="I281" s="4">
        <v>1</v>
      </c>
      <c r="J281" s="5"/>
      <c r="K281" s="5"/>
    </row>
    <row r="282" spans="1:11" x14ac:dyDescent="0.3">
      <c r="A282" s="2" t="s">
        <v>11</v>
      </c>
      <c r="B282" s="3">
        <v>45855</v>
      </c>
      <c r="C282" s="2" t="s">
        <v>177</v>
      </c>
      <c r="D282" s="2" t="s">
        <v>400</v>
      </c>
      <c r="E282" s="2" t="s">
        <v>498</v>
      </c>
      <c r="F282" s="2" t="s">
        <v>519</v>
      </c>
      <c r="G282" s="2" t="s">
        <v>548</v>
      </c>
      <c r="H282" s="2" t="s">
        <v>553</v>
      </c>
      <c r="I282" s="4">
        <v>1</v>
      </c>
      <c r="J282" s="5">
        <v>1138000</v>
      </c>
      <c r="K282" s="5">
        <f>ROUND(IF(ISNUMBER(J282), I282*J282, I282),5)</f>
        <v>1138000</v>
      </c>
    </row>
    <row r="283" spans="1:11" x14ac:dyDescent="0.3">
      <c r="A283" s="2" t="s">
        <v>11</v>
      </c>
      <c r="B283" s="3">
        <v>45855</v>
      </c>
      <c r="C283" s="2" t="s">
        <v>177</v>
      </c>
      <c r="D283" s="2" t="s">
        <v>400</v>
      </c>
      <c r="E283" s="2" t="s">
        <v>451</v>
      </c>
      <c r="F283" s="2" t="s">
        <v>540</v>
      </c>
      <c r="G283" s="2" t="s">
        <v>548</v>
      </c>
      <c r="H283" s="2" t="s">
        <v>553</v>
      </c>
      <c r="I283" s="4">
        <v>10</v>
      </c>
      <c r="J283" s="5">
        <v>114000</v>
      </c>
      <c r="K283" s="5">
        <f>ROUND(IF(ISNUMBER(J283), I283*J283, I283),5)</f>
        <v>1140000</v>
      </c>
    </row>
    <row r="284" spans="1:11" x14ac:dyDescent="0.3">
      <c r="A284" s="2" t="s">
        <v>11</v>
      </c>
      <c r="B284" s="3">
        <v>45855</v>
      </c>
      <c r="C284" s="2" t="s">
        <v>177</v>
      </c>
      <c r="D284" s="2" t="s">
        <v>400</v>
      </c>
      <c r="E284" s="2" t="s">
        <v>515</v>
      </c>
      <c r="F284" s="2" t="s">
        <v>519</v>
      </c>
      <c r="G284" s="2" t="s">
        <v>548</v>
      </c>
      <c r="H284" s="2" t="s">
        <v>553</v>
      </c>
      <c r="I284" s="4">
        <v>1</v>
      </c>
      <c r="J284" s="5"/>
      <c r="K284" s="5"/>
    </row>
    <row r="285" spans="1:11" x14ac:dyDescent="0.3">
      <c r="A285" s="2" t="s">
        <v>11</v>
      </c>
      <c r="B285" s="3">
        <v>45855</v>
      </c>
      <c r="C285" s="2" t="s">
        <v>177</v>
      </c>
      <c r="D285" s="2" t="s">
        <v>400</v>
      </c>
      <c r="E285" s="2" t="s">
        <v>516</v>
      </c>
      <c r="F285" s="2" t="s">
        <v>540</v>
      </c>
      <c r="G285" s="2" t="s">
        <v>548</v>
      </c>
      <c r="H285" s="2" t="s">
        <v>553</v>
      </c>
      <c r="I285" s="4">
        <v>2</v>
      </c>
      <c r="J285" s="5">
        <v>116400</v>
      </c>
      <c r="K285" s="5">
        <f>ROUND(IF(ISNUMBER(J285), I285*J285, I285),5)</f>
        <v>232800</v>
      </c>
    </row>
    <row r="286" spans="1:11" x14ac:dyDescent="0.3">
      <c r="A286" s="2" t="s">
        <v>11</v>
      </c>
      <c r="B286" s="3">
        <v>45855</v>
      </c>
      <c r="C286" s="2" t="s">
        <v>177</v>
      </c>
      <c r="D286" s="2" t="s">
        <v>400</v>
      </c>
      <c r="E286" s="2" t="s">
        <v>460</v>
      </c>
      <c r="F286" s="2" t="s">
        <v>519</v>
      </c>
      <c r="G286" s="2" t="s">
        <v>548</v>
      </c>
      <c r="H286" s="2" t="s">
        <v>553</v>
      </c>
      <c r="I286" s="4">
        <v>1</v>
      </c>
      <c r="J286" s="5"/>
      <c r="K286" s="5"/>
    </row>
    <row r="287" spans="1:11" x14ac:dyDescent="0.3">
      <c r="A287" s="2" t="s">
        <v>11</v>
      </c>
      <c r="B287" s="3">
        <v>45856</v>
      </c>
      <c r="C287" s="2" t="s">
        <v>178</v>
      </c>
      <c r="D287" s="2" t="s">
        <v>380</v>
      </c>
      <c r="E287" s="2" t="s">
        <v>442</v>
      </c>
      <c r="F287" s="2" t="s">
        <v>540</v>
      </c>
      <c r="G287" s="2" t="s">
        <v>548</v>
      </c>
      <c r="H287" s="2" t="s">
        <v>553</v>
      </c>
      <c r="I287" s="4">
        <v>3</v>
      </c>
      <c r="J287" s="5">
        <v>42525</v>
      </c>
      <c r="K287" s="5">
        <f>ROUND(IF(ISNUMBER(J287), I287*J287, I287),5)</f>
        <v>127575</v>
      </c>
    </row>
    <row r="288" spans="1:11" x14ac:dyDescent="0.3">
      <c r="A288" s="2" t="s">
        <v>11</v>
      </c>
      <c r="B288" s="3">
        <v>45856</v>
      </c>
      <c r="C288" s="2" t="s">
        <v>179</v>
      </c>
      <c r="D288" s="2" t="s">
        <v>401</v>
      </c>
      <c r="E288" s="2" t="s">
        <v>517</v>
      </c>
      <c r="F288" s="2" t="s">
        <v>519</v>
      </c>
      <c r="G288" s="2" t="s">
        <v>548</v>
      </c>
      <c r="H288" s="2" t="s">
        <v>553</v>
      </c>
      <c r="I288" s="4">
        <v>1</v>
      </c>
      <c r="J288" s="5">
        <v>166000</v>
      </c>
      <c r="K288" s="5">
        <f>ROUND(IF(ISNUMBER(J288), I288*J288, I288),5)</f>
        <v>166000</v>
      </c>
    </row>
    <row r="289" spans="1:11" x14ac:dyDescent="0.3">
      <c r="A289" s="2" t="s">
        <v>11</v>
      </c>
      <c r="B289" s="3">
        <v>45856</v>
      </c>
      <c r="C289" s="2" t="s">
        <v>179</v>
      </c>
      <c r="D289" s="2" t="s">
        <v>401</v>
      </c>
      <c r="E289" s="2" t="s">
        <v>442</v>
      </c>
      <c r="F289" s="2" t="s">
        <v>540</v>
      </c>
      <c r="G289" s="2" t="s">
        <v>548</v>
      </c>
      <c r="H289" s="2" t="s">
        <v>553</v>
      </c>
      <c r="I289" s="4">
        <v>4</v>
      </c>
      <c r="J289" s="5">
        <v>42000</v>
      </c>
      <c r="K289" s="5">
        <f>ROUND(IF(ISNUMBER(J289), I289*J289, I289),5)</f>
        <v>168000</v>
      </c>
    </row>
    <row r="290" spans="1:11" x14ac:dyDescent="0.3">
      <c r="A290" s="2" t="s">
        <v>11</v>
      </c>
      <c r="B290" s="3">
        <v>45857</v>
      </c>
      <c r="C290" s="2" t="s">
        <v>180</v>
      </c>
      <c r="D290" s="2" t="s">
        <v>334</v>
      </c>
      <c r="E290" s="2" t="s">
        <v>471</v>
      </c>
      <c r="F290" s="2" t="s">
        <v>544</v>
      </c>
      <c r="G290" s="2" t="s">
        <v>549</v>
      </c>
      <c r="H290" s="2" t="s">
        <v>553</v>
      </c>
      <c r="I290" s="4">
        <v>1</v>
      </c>
      <c r="J290" s="5">
        <v>3045</v>
      </c>
      <c r="K290" s="5">
        <f>ROUND(IF(ISNUMBER(J290), I290*J290, I290),5)</f>
        <v>3045</v>
      </c>
    </row>
    <row r="291" spans="1:11" x14ac:dyDescent="0.3">
      <c r="A291" s="2" t="s">
        <v>11</v>
      </c>
      <c r="B291" s="3">
        <v>45857</v>
      </c>
      <c r="C291" s="2" t="s">
        <v>181</v>
      </c>
      <c r="D291" s="2" t="s">
        <v>335</v>
      </c>
      <c r="E291" s="2" t="s">
        <v>473</v>
      </c>
      <c r="F291" s="2" t="s">
        <v>544</v>
      </c>
      <c r="G291" s="2" t="s">
        <v>549</v>
      </c>
      <c r="H291" s="2" t="s">
        <v>553</v>
      </c>
      <c r="I291" s="4">
        <v>1</v>
      </c>
      <c r="J291" s="5">
        <v>18565.37</v>
      </c>
      <c r="K291" s="5">
        <f>ROUND(IF(ISNUMBER(J291), I291*J291, I291),5)</f>
        <v>18565.37</v>
      </c>
    </row>
    <row r="292" spans="1:11" x14ac:dyDescent="0.3">
      <c r="A292" s="2" t="s">
        <v>11</v>
      </c>
      <c r="B292" s="3">
        <v>45857</v>
      </c>
      <c r="C292" s="2" t="s">
        <v>182</v>
      </c>
      <c r="D292" s="2" t="s">
        <v>335</v>
      </c>
      <c r="E292" s="2" t="s">
        <v>472</v>
      </c>
      <c r="F292" s="2" t="s">
        <v>544</v>
      </c>
      <c r="G292" s="2" t="s">
        <v>549</v>
      </c>
      <c r="H292" s="2" t="s">
        <v>553</v>
      </c>
      <c r="I292" s="4">
        <v>1</v>
      </c>
      <c r="J292" s="5">
        <v>6765.99</v>
      </c>
      <c r="K292" s="5">
        <f>ROUND(IF(ISNUMBER(J292), I292*J292, I292),5)</f>
        <v>6765.99</v>
      </c>
    </row>
    <row r="293" spans="1:11" x14ac:dyDescent="0.3">
      <c r="A293" s="2" t="s">
        <v>11</v>
      </c>
      <c r="B293" s="3">
        <v>45857</v>
      </c>
      <c r="C293" s="2" t="s">
        <v>183</v>
      </c>
      <c r="D293" s="2" t="s">
        <v>336</v>
      </c>
      <c r="E293" s="2" t="s">
        <v>473</v>
      </c>
      <c r="F293" s="2" t="s">
        <v>544</v>
      </c>
      <c r="G293" s="2" t="s">
        <v>549</v>
      </c>
      <c r="H293" s="2" t="s">
        <v>553</v>
      </c>
      <c r="I293" s="4">
        <v>1</v>
      </c>
      <c r="J293" s="5">
        <v>15225</v>
      </c>
      <c r="K293" s="5">
        <f>ROUND(IF(ISNUMBER(J293), I293*J293, I293),5)</f>
        <v>15225</v>
      </c>
    </row>
    <row r="294" spans="1:11" x14ac:dyDescent="0.3">
      <c r="A294" s="2" t="s">
        <v>11</v>
      </c>
      <c r="B294" s="3">
        <v>45857</v>
      </c>
      <c r="C294" s="2" t="s">
        <v>184</v>
      </c>
      <c r="D294" s="2" t="s">
        <v>402</v>
      </c>
      <c r="E294" s="2" t="s">
        <v>454</v>
      </c>
      <c r="F294" s="2" t="s">
        <v>543</v>
      </c>
      <c r="G294" s="2" t="s">
        <v>552</v>
      </c>
      <c r="H294" s="2" t="s">
        <v>554</v>
      </c>
      <c r="I294" s="4">
        <v>1</v>
      </c>
      <c r="J294" s="5">
        <v>6000</v>
      </c>
      <c r="K294" s="5">
        <f>ROUND(IF(ISNUMBER(J294), I294*J294, I294),5)</f>
        <v>6000</v>
      </c>
    </row>
    <row r="295" spans="1:11" x14ac:dyDescent="0.3">
      <c r="A295" s="2" t="s">
        <v>11</v>
      </c>
      <c r="B295" s="3">
        <v>45859</v>
      </c>
      <c r="C295" s="2" t="s">
        <v>185</v>
      </c>
      <c r="D295" s="2" t="s">
        <v>338</v>
      </c>
      <c r="E295" s="2" t="s">
        <v>452</v>
      </c>
      <c r="F295" s="2" t="s">
        <v>542</v>
      </c>
      <c r="G295" s="2" t="s">
        <v>550</v>
      </c>
      <c r="H295" s="2" t="s">
        <v>554</v>
      </c>
      <c r="I295" s="4">
        <v>1</v>
      </c>
      <c r="J295" s="5">
        <v>10600</v>
      </c>
      <c r="K295" s="5">
        <f>ROUND(IF(ISNUMBER(J295), I295*J295, I295),5)</f>
        <v>10600</v>
      </c>
    </row>
    <row r="296" spans="1:11" x14ac:dyDescent="0.3">
      <c r="A296" s="2" t="s">
        <v>11</v>
      </c>
      <c r="B296" s="3">
        <v>45859</v>
      </c>
      <c r="C296" s="2" t="s">
        <v>186</v>
      </c>
      <c r="D296" s="2" t="s">
        <v>355</v>
      </c>
      <c r="E296" s="2" t="s">
        <v>518</v>
      </c>
      <c r="F296" s="2" t="s">
        <v>545</v>
      </c>
      <c r="G296" s="2" t="s">
        <v>551</v>
      </c>
      <c r="H296" s="2" t="s">
        <v>553</v>
      </c>
      <c r="I296" s="4">
        <v>1</v>
      </c>
      <c r="J296" s="5">
        <v>40000</v>
      </c>
      <c r="K296" s="5">
        <f>ROUND(IF(ISNUMBER(J296), I296*J296, I296),5)</f>
        <v>40000</v>
      </c>
    </row>
    <row r="297" spans="1:11" x14ac:dyDescent="0.3">
      <c r="A297" s="2" t="s">
        <v>11</v>
      </c>
      <c r="B297" s="3">
        <v>45860</v>
      </c>
      <c r="C297" s="2" t="s">
        <v>187</v>
      </c>
      <c r="D297" s="2" t="s">
        <v>346</v>
      </c>
      <c r="E297" s="2" t="s">
        <v>451</v>
      </c>
      <c r="F297" s="2" t="s">
        <v>540</v>
      </c>
      <c r="G297" s="2" t="s">
        <v>551</v>
      </c>
      <c r="H297" s="2" t="s">
        <v>554</v>
      </c>
      <c r="I297" s="4">
        <v>1</v>
      </c>
      <c r="J297" s="5">
        <v>163000</v>
      </c>
      <c r="K297" s="5">
        <f>ROUND(IF(ISNUMBER(J297), I297*J297, I297),5)</f>
        <v>163000</v>
      </c>
    </row>
    <row r="298" spans="1:11" x14ac:dyDescent="0.3">
      <c r="A298" s="2" t="s">
        <v>11</v>
      </c>
      <c r="B298" s="3">
        <v>45861</v>
      </c>
      <c r="C298" s="2" t="s">
        <v>188</v>
      </c>
      <c r="D298" s="2" t="s">
        <v>324</v>
      </c>
      <c r="E298" s="2" t="s">
        <v>500</v>
      </c>
      <c r="F298" s="2" t="s">
        <v>519</v>
      </c>
      <c r="G298" s="2" t="s">
        <v>550</v>
      </c>
      <c r="H298" s="2" t="s">
        <v>553</v>
      </c>
      <c r="I298" s="4">
        <v>1</v>
      </c>
      <c r="J298" s="5">
        <v>210000</v>
      </c>
      <c r="K298" s="5">
        <f>ROUND(IF(ISNUMBER(J298), I298*J298, I298),5)</f>
        <v>210000</v>
      </c>
    </row>
    <row r="299" spans="1:11" x14ac:dyDescent="0.3">
      <c r="A299" s="2" t="s">
        <v>11</v>
      </c>
      <c r="B299" s="3">
        <v>45862</v>
      </c>
      <c r="C299" s="2" t="s">
        <v>189</v>
      </c>
      <c r="D299" s="2" t="s">
        <v>366</v>
      </c>
      <c r="E299" s="2" t="s">
        <v>447</v>
      </c>
      <c r="F299" s="2" t="s">
        <v>540</v>
      </c>
      <c r="G299" s="2" t="s">
        <v>551</v>
      </c>
      <c r="H299" s="2" t="s">
        <v>553</v>
      </c>
      <c r="I299" s="4">
        <v>1</v>
      </c>
      <c r="J299" s="5">
        <v>39000</v>
      </c>
      <c r="K299" s="5">
        <f>ROUND(IF(ISNUMBER(J299), I299*J299, I299),5)</f>
        <v>39000</v>
      </c>
    </row>
    <row r="300" spans="1:11" x14ac:dyDescent="0.3">
      <c r="A300" s="2" t="s">
        <v>11</v>
      </c>
      <c r="B300" s="3">
        <v>45862</v>
      </c>
      <c r="C300" s="2" t="s">
        <v>190</v>
      </c>
      <c r="D300" s="2" t="s">
        <v>403</v>
      </c>
      <c r="E300" s="2" t="s">
        <v>454</v>
      </c>
      <c r="F300" s="2" t="s">
        <v>543</v>
      </c>
      <c r="G300" s="2" t="s">
        <v>549</v>
      </c>
      <c r="H300" s="2" t="s">
        <v>553</v>
      </c>
      <c r="I300" s="4">
        <v>1</v>
      </c>
      <c r="J300" s="5">
        <v>228415.09</v>
      </c>
      <c r="K300" s="5">
        <f>ROUND(IF(ISNUMBER(J300), I300*J300, I300),5)</f>
        <v>228415.09</v>
      </c>
    </row>
    <row r="301" spans="1:11" x14ac:dyDescent="0.3">
      <c r="A301" s="2" t="s">
        <v>11</v>
      </c>
      <c r="B301" s="3">
        <v>45862</v>
      </c>
      <c r="C301" s="2" t="s">
        <v>191</v>
      </c>
      <c r="D301" s="2" t="s">
        <v>328</v>
      </c>
      <c r="E301" s="2" t="s">
        <v>454</v>
      </c>
      <c r="F301" s="2" t="s">
        <v>543</v>
      </c>
      <c r="G301" s="2" t="s">
        <v>552</v>
      </c>
      <c r="H301" s="2" t="s">
        <v>554</v>
      </c>
      <c r="I301" s="4">
        <v>1</v>
      </c>
      <c r="J301" s="5">
        <v>2000</v>
      </c>
      <c r="K301" s="5">
        <f>ROUND(IF(ISNUMBER(J301), I301*J301, I301),5)</f>
        <v>2000</v>
      </c>
    </row>
    <row r="302" spans="1:11" x14ac:dyDescent="0.3">
      <c r="A302" s="2" t="s">
        <v>11</v>
      </c>
      <c r="B302" s="3">
        <v>45862</v>
      </c>
      <c r="C302" s="2" t="s">
        <v>192</v>
      </c>
      <c r="D302" s="2" t="s">
        <v>328</v>
      </c>
      <c r="E302" s="2" t="s">
        <v>454</v>
      </c>
      <c r="F302" s="2" t="s">
        <v>543</v>
      </c>
      <c r="G302" s="2" t="s">
        <v>552</v>
      </c>
      <c r="H302" s="2" t="s">
        <v>554</v>
      </c>
      <c r="I302" s="4">
        <v>1</v>
      </c>
      <c r="J302" s="5">
        <v>2000</v>
      </c>
      <c r="K302" s="5">
        <f>ROUND(IF(ISNUMBER(J302), I302*J302, I302),5)</f>
        <v>2000</v>
      </c>
    </row>
    <row r="303" spans="1:11" x14ac:dyDescent="0.3">
      <c r="A303" s="2" t="s">
        <v>11</v>
      </c>
      <c r="B303" s="3">
        <v>45863</v>
      </c>
      <c r="C303" s="2" t="s">
        <v>193</v>
      </c>
      <c r="D303" s="2" t="s">
        <v>382</v>
      </c>
      <c r="E303" s="2" t="s">
        <v>480</v>
      </c>
      <c r="F303" s="2" t="s">
        <v>542</v>
      </c>
      <c r="G303" s="2" t="s">
        <v>550</v>
      </c>
      <c r="H303" s="2" t="s">
        <v>554</v>
      </c>
      <c r="I303" s="4">
        <v>2</v>
      </c>
      <c r="J303" s="5">
        <v>7906</v>
      </c>
      <c r="K303" s="5">
        <f>ROUND(IF(ISNUMBER(J303), I303*J303, I303),5)</f>
        <v>15812</v>
      </c>
    </row>
    <row r="304" spans="1:11" x14ac:dyDescent="0.3">
      <c r="A304" s="2" t="s">
        <v>11</v>
      </c>
      <c r="B304" s="3">
        <v>45863</v>
      </c>
      <c r="C304" s="2" t="s">
        <v>193</v>
      </c>
      <c r="D304" s="2" t="s">
        <v>382</v>
      </c>
      <c r="E304" s="2" t="s">
        <v>490</v>
      </c>
      <c r="F304" s="2" t="s">
        <v>542</v>
      </c>
      <c r="G304" s="2" t="s">
        <v>550</v>
      </c>
      <c r="H304" s="2" t="s">
        <v>554</v>
      </c>
      <c r="I304" s="4">
        <v>1</v>
      </c>
      <c r="J304" s="5">
        <v>5959</v>
      </c>
      <c r="K304" s="5">
        <f>ROUND(IF(ISNUMBER(J304), I304*J304, I304),5)</f>
        <v>5959</v>
      </c>
    </row>
    <row r="305" spans="1:11" x14ac:dyDescent="0.3">
      <c r="A305" s="2" t="s">
        <v>11</v>
      </c>
      <c r="B305" s="3">
        <v>45866</v>
      </c>
      <c r="C305" s="2" t="s">
        <v>194</v>
      </c>
      <c r="D305" s="2" t="s">
        <v>404</v>
      </c>
      <c r="E305" s="2" t="s">
        <v>456</v>
      </c>
      <c r="F305" s="2" t="s">
        <v>542</v>
      </c>
      <c r="G305" s="2" t="s">
        <v>548</v>
      </c>
      <c r="H305" s="2" t="s">
        <v>553</v>
      </c>
      <c r="I305" s="4">
        <v>1</v>
      </c>
      <c r="J305" s="5">
        <v>13700</v>
      </c>
      <c r="K305" s="5">
        <f>ROUND(IF(ISNUMBER(J305), I305*J305, I305),5)</f>
        <v>13700</v>
      </c>
    </row>
    <row r="306" spans="1:11" x14ac:dyDescent="0.3">
      <c r="A306" s="2" t="s">
        <v>11</v>
      </c>
      <c r="B306" s="3">
        <v>45866</v>
      </c>
      <c r="C306" s="2" t="s">
        <v>195</v>
      </c>
      <c r="D306" s="2" t="s">
        <v>403</v>
      </c>
      <c r="E306" s="2" t="s">
        <v>519</v>
      </c>
      <c r="F306" s="2" t="s">
        <v>519</v>
      </c>
      <c r="G306" s="2" t="s">
        <v>549</v>
      </c>
      <c r="H306" s="2" t="s">
        <v>553</v>
      </c>
      <c r="I306" s="4">
        <v>1</v>
      </c>
      <c r="J306" s="5">
        <v>15250</v>
      </c>
      <c r="K306" s="5">
        <f>ROUND(IF(ISNUMBER(J306), I306*J306, I306),5)</f>
        <v>15250</v>
      </c>
    </row>
    <row r="307" spans="1:11" x14ac:dyDescent="0.3">
      <c r="A307" s="2" t="s">
        <v>11</v>
      </c>
      <c r="B307" s="3">
        <v>45866</v>
      </c>
      <c r="C307" s="2" t="s">
        <v>196</v>
      </c>
      <c r="D307" s="2" t="s">
        <v>405</v>
      </c>
      <c r="E307" s="2" t="s">
        <v>472</v>
      </c>
      <c r="F307" s="2" t="s">
        <v>544</v>
      </c>
      <c r="G307" s="2" t="s">
        <v>549</v>
      </c>
      <c r="H307" s="2" t="s">
        <v>554</v>
      </c>
      <c r="I307" s="4">
        <v>1</v>
      </c>
      <c r="J307" s="5">
        <v>35400</v>
      </c>
      <c r="K307" s="5">
        <f>ROUND(IF(ISNUMBER(J307), I307*J307, I307),5)</f>
        <v>35400</v>
      </c>
    </row>
    <row r="308" spans="1:11" x14ac:dyDescent="0.3">
      <c r="A308" s="2" t="s">
        <v>11</v>
      </c>
      <c r="B308" s="3">
        <v>45866</v>
      </c>
      <c r="C308" s="2" t="s">
        <v>197</v>
      </c>
      <c r="D308" s="2" t="s">
        <v>406</v>
      </c>
      <c r="E308" s="2" t="s">
        <v>456</v>
      </c>
      <c r="F308" s="2" t="s">
        <v>542</v>
      </c>
      <c r="G308" s="2" t="s">
        <v>550</v>
      </c>
      <c r="H308" s="2" t="s">
        <v>554</v>
      </c>
      <c r="I308" s="4">
        <v>1</v>
      </c>
      <c r="J308" s="5">
        <v>16110</v>
      </c>
      <c r="K308" s="5">
        <f>ROUND(IF(ISNUMBER(J308), I308*J308, I308),5)</f>
        <v>16110</v>
      </c>
    </row>
    <row r="309" spans="1:11" x14ac:dyDescent="0.3">
      <c r="A309" s="2" t="s">
        <v>11</v>
      </c>
      <c r="B309" s="3">
        <v>45867</v>
      </c>
      <c r="C309" s="2" t="s">
        <v>198</v>
      </c>
      <c r="D309" s="2" t="s">
        <v>407</v>
      </c>
      <c r="E309" s="2" t="s">
        <v>472</v>
      </c>
      <c r="F309" s="2" t="s">
        <v>544</v>
      </c>
      <c r="G309" s="2" t="s">
        <v>551</v>
      </c>
      <c r="H309" s="2" t="s">
        <v>554</v>
      </c>
      <c r="I309" s="4">
        <v>1</v>
      </c>
      <c r="J309" s="5">
        <v>11800</v>
      </c>
      <c r="K309" s="5">
        <f>ROUND(IF(ISNUMBER(J309), I309*J309, I309),5)</f>
        <v>11800</v>
      </c>
    </row>
    <row r="310" spans="1:11" x14ac:dyDescent="0.3">
      <c r="A310" s="2" t="s">
        <v>11</v>
      </c>
      <c r="B310" s="3">
        <v>45869</v>
      </c>
      <c r="C310" s="2" t="s">
        <v>199</v>
      </c>
      <c r="D310" s="2" t="s">
        <v>408</v>
      </c>
      <c r="E310" s="2" t="s">
        <v>520</v>
      </c>
      <c r="F310" s="2" t="s">
        <v>519</v>
      </c>
      <c r="G310" s="2" t="s">
        <v>548</v>
      </c>
      <c r="H310" s="2" t="s">
        <v>553</v>
      </c>
      <c r="I310" s="4">
        <v>1</v>
      </c>
      <c r="J310" s="5">
        <v>1281825</v>
      </c>
      <c r="K310" s="5">
        <f>ROUND(IF(ISNUMBER(J310), I310*J310, I310),5)</f>
        <v>1281825</v>
      </c>
    </row>
    <row r="311" spans="1:11" x14ac:dyDescent="0.3">
      <c r="A311" s="2" t="s">
        <v>11</v>
      </c>
      <c r="B311" s="3">
        <v>45869</v>
      </c>
      <c r="C311" s="2" t="s">
        <v>199</v>
      </c>
      <c r="D311" s="2" t="s">
        <v>408</v>
      </c>
      <c r="E311" s="2" t="s">
        <v>451</v>
      </c>
      <c r="F311" s="2" t="s">
        <v>540</v>
      </c>
      <c r="G311" s="2" t="s">
        <v>548</v>
      </c>
      <c r="H311" s="2" t="s">
        <v>553</v>
      </c>
      <c r="I311" s="4">
        <v>3</v>
      </c>
      <c r="J311" s="5">
        <v>124537.5</v>
      </c>
      <c r="K311" s="5">
        <f>ROUND(IF(ISNUMBER(J311), I311*J311, I311),5)</f>
        <v>373612.5</v>
      </c>
    </row>
    <row r="312" spans="1:11" x14ac:dyDescent="0.3">
      <c r="A312" s="2" t="s">
        <v>11</v>
      </c>
      <c r="B312" s="3">
        <v>45869</v>
      </c>
      <c r="C312" s="2" t="s">
        <v>199</v>
      </c>
      <c r="D312" s="2" t="s">
        <v>408</v>
      </c>
      <c r="E312" s="2" t="s">
        <v>460</v>
      </c>
      <c r="F312" s="2" t="s">
        <v>519</v>
      </c>
      <c r="G312" s="2" t="s">
        <v>548</v>
      </c>
      <c r="H312" s="2" t="s">
        <v>553</v>
      </c>
      <c r="I312" s="4">
        <v>1</v>
      </c>
      <c r="J312" s="5"/>
      <c r="K312" s="5"/>
    </row>
    <row r="313" spans="1:11" x14ac:dyDescent="0.3">
      <c r="A313" s="2" t="s">
        <v>12</v>
      </c>
      <c r="B313" s="3">
        <v>45870</v>
      </c>
      <c r="C313" s="2" t="s">
        <v>200</v>
      </c>
      <c r="D313" s="2" t="s">
        <v>409</v>
      </c>
      <c r="E313" s="2" t="s">
        <v>457</v>
      </c>
      <c r="F313" s="2" t="s">
        <v>542</v>
      </c>
      <c r="G313" s="2"/>
      <c r="H313" s="2" t="s">
        <v>553</v>
      </c>
      <c r="I313" s="4">
        <v>-1</v>
      </c>
      <c r="J313" s="5">
        <v>19900</v>
      </c>
      <c r="K313" s="5">
        <f>ROUND(IF(ISNUMBER(J313), I313*J313, I313),5)</f>
        <v>-19900</v>
      </c>
    </row>
    <row r="314" spans="1:11" x14ac:dyDescent="0.3">
      <c r="A314" s="2" t="s">
        <v>12</v>
      </c>
      <c r="B314" s="3">
        <v>45870</v>
      </c>
      <c r="C314" s="2" t="s">
        <v>200</v>
      </c>
      <c r="D314" s="2" t="s">
        <v>409</v>
      </c>
      <c r="E314" s="2" t="s">
        <v>511</v>
      </c>
      <c r="F314" s="2" t="s">
        <v>542</v>
      </c>
      <c r="G314" s="2"/>
      <c r="H314" s="2" t="s">
        <v>553</v>
      </c>
      <c r="I314" s="4">
        <v>-1</v>
      </c>
      <c r="J314" s="5">
        <v>15790</v>
      </c>
      <c r="K314" s="5">
        <f>ROUND(IF(ISNUMBER(J314), I314*J314, I314),5)</f>
        <v>-15790</v>
      </c>
    </row>
    <row r="315" spans="1:11" x14ac:dyDescent="0.3">
      <c r="A315" s="2" t="s">
        <v>12</v>
      </c>
      <c r="B315" s="3">
        <v>45870</v>
      </c>
      <c r="C315" s="2" t="s">
        <v>200</v>
      </c>
      <c r="D315" s="2" t="s">
        <v>409</v>
      </c>
      <c r="E315" s="2" t="s">
        <v>510</v>
      </c>
      <c r="F315" s="2" t="s">
        <v>542</v>
      </c>
      <c r="G315" s="2"/>
      <c r="H315" s="2" t="s">
        <v>553</v>
      </c>
      <c r="I315" s="4">
        <v>-1</v>
      </c>
      <c r="J315" s="5">
        <v>20650</v>
      </c>
      <c r="K315" s="5">
        <f>ROUND(IF(ISNUMBER(J315), I315*J315, I315),5)</f>
        <v>-20650</v>
      </c>
    </row>
    <row r="316" spans="1:11" x14ac:dyDescent="0.3">
      <c r="A316" s="2" t="s">
        <v>12</v>
      </c>
      <c r="B316" s="3">
        <v>45870</v>
      </c>
      <c r="C316" s="2" t="s">
        <v>201</v>
      </c>
      <c r="D316" s="2" t="s">
        <v>409</v>
      </c>
      <c r="E316" s="2" t="s">
        <v>474</v>
      </c>
      <c r="F316" s="2" t="s">
        <v>542</v>
      </c>
      <c r="G316" s="2"/>
      <c r="H316" s="2" t="s">
        <v>553</v>
      </c>
      <c r="I316" s="4">
        <v>-2</v>
      </c>
      <c r="J316" s="5">
        <v>5100</v>
      </c>
      <c r="K316" s="5">
        <f>ROUND(IF(ISNUMBER(J316), I316*J316, I316),5)</f>
        <v>-10200</v>
      </c>
    </row>
    <row r="317" spans="1:11" x14ac:dyDescent="0.3">
      <c r="A317" s="2" t="s">
        <v>12</v>
      </c>
      <c r="B317" s="3">
        <v>45870</v>
      </c>
      <c r="C317" s="2" t="s">
        <v>201</v>
      </c>
      <c r="D317" s="2" t="s">
        <v>409</v>
      </c>
      <c r="E317" s="2" t="s">
        <v>456</v>
      </c>
      <c r="F317" s="2" t="s">
        <v>542</v>
      </c>
      <c r="G317" s="2"/>
      <c r="H317" s="2" t="s">
        <v>553</v>
      </c>
      <c r="I317" s="4">
        <v>-2</v>
      </c>
      <c r="J317" s="5">
        <v>13360</v>
      </c>
      <c r="K317" s="5">
        <f>ROUND(IF(ISNUMBER(J317), I317*J317, I317),5)</f>
        <v>-26720</v>
      </c>
    </row>
    <row r="318" spans="1:11" x14ac:dyDescent="0.3">
      <c r="A318" s="2" t="s">
        <v>12</v>
      </c>
      <c r="B318" s="3">
        <v>45870</v>
      </c>
      <c r="C318" s="2" t="s">
        <v>201</v>
      </c>
      <c r="D318" s="2" t="s">
        <v>409</v>
      </c>
      <c r="E318" s="2" t="s">
        <v>490</v>
      </c>
      <c r="F318" s="2" t="s">
        <v>542</v>
      </c>
      <c r="G318" s="2"/>
      <c r="H318" s="2" t="s">
        <v>553</v>
      </c>
      <c r="I318" s="4">
        <v>-2</v>
      </c>
      <c r="J318" s="5">
        <v>5050</v>
      </c>
      <c r="K318" s="5">
        <f>ROUND(IF(ISNUMBER(J318), I318*J318, I318),5)</f>
        <v>-10100</v>
      </c>
    </row>
    <row r="319" spans="1:11" x14ac:dyDescent="0.3">
      <c r="A319" s="2" t="s">
        <v>11</v>
      </c>
      <c r="B319" s="3">
        <v>45870</v>
      </c>
      <c r="C319" s="2" t="s">
        <v>202</v>
      </c>
      <c r="D319" s="2" t="s">
        <v>381</v>
      </c>
      <c r="E319" s="2" t="s">
        <v>513</v>
      </c>
      <c r="F319" s="2" t="s">
        <v>546</v>
      </c>
      <c r="G319" s="2" t="s">
        <v>549</v>
      </c>
      <c r="H319" s="2" t="s">
        <v>554</v>
      </c>
      <c r="I319" s="4">
        <v>10</v>
      </c>
      <c r="J319" s="5">
        <v>2360</v>
      </c>
      <c r="K319" s="5">
        <f>ROUND(IF(ISNUMBER(J319), I319*J319, I319),5)</f>
        <v>23600</v>
      </c>
    </row>
    <row r="320" spans="1:11" x14ac:dyDescent="0.3">
      <c r="A320" s="2" t="s">
        <v>11</v>
      </c>
      <c r="B320" s="3">
        <v>45870</v>
      </c>
      <c r="C320" s="2" t="s">
        <v>203</v>
      </c>
      <c r="D320" s="2" t="s">
        <v>410</v>
      </c>
      <c r="E320" s="2" t="s">
        <v>488</v>
      </c>
      <c r="F320" s="2" t="s">
        <v>519</v>
      </c>
      <c r="G320" s="2" t="s">
        <v>551</v>
      </c>
      <c r="H320" s="2" t="s">
        <v>553</v>
      </c>
      <c r="I320" s="4">
        <v>1</v>
      </c>
      <c r="J320" s="5">
        <v>93000</v>
      </c>
      <c r="K320" s="5">
        <f>ROUND(IF(ISNUMBER(J320), I320*J320, I320),5)</f>
        <v>93000</v>
      </c>
    </row>
    <row r="321" spans="1:11" x14ac:dyDescent="0.3">
      <c r="A321" s="2" t="s">
        <v>11</v>
      </c>
      <c r="B321" s="3">
        <v>45870</v>
      </c>
      <c r="C321" s="2" t="s">
        <v>204</v>
      </c>
      <c r="D321" s="2" t="s">
        <v>382</v>
      </c>
      <c r="E321" s="2" t="s">
        <v>496</v>
      </c>
      <c r="F321" s="2" t="s">
        <v>545</v>
      </c>
      <c r="G321" s="2" t="s">
        <v>550</v>
      </c>
      <c r="H321" s="2" t="s">
        <v>554</v>
      </c>
      <c r="I321" s="4">
        <v>60</v>
      </c>
      <c r="J321" s="5">
        <v>60</v>
      </c>
      <c r="K321" s="5">
        <f>ROUND(IF(ISNUMBER(J321), I321*J321, I321),5)</f>
        <v>3600</v>
      </c>
    </row>
    <row r="322" spans="1:11" x14ac:dyDescent="0.3">
      <c r="A322" s="2" t="s">
        <v>11</v>
      </c>
      <c r="B322" s="3">
        <v>45871</v>
      </c>
      <c r="C322" s="2" t="s">
        <v>205</v>
      </c>
      <c r="D322" s="2" t="s">
        <v>313</v>
      </c>
      <c r="E322" s="2" t="s">
        <v>491</v>
      </c>
      <c r="F322" s="2" t="s">
        <v>542</v>
      </c>
      <c r="G322" s="2" t="s">
        <v>550</v>
      </c>
      <c r="H322" s="2" t="s">
        <v>553</v>
      </c>
      <c r="I322" s="4">
        <v>1</v>
      </c>
      <c r="J322" s="5">
        <v>38135.53</v>
      </c>
      <c r="K322" s="5">
        <f>ROUND(IF(ISNUMBER(J322), I322*J322, I322),5)</f>
        <v>38135.53</v>
      </c>
    </row>
    <row r="323" spans="1:11" x14ac:dyDescent="0.3">
      <c r="A323" s="2" t="s">
        <v>11</v>
      </c>
      <c r="B323" s="3">
        <v>45873</v>
      </c>
      <c r="C323" s="2" t="s">
        <v>206</v>
      </c>
      <c r="D323" s="2" t="s">
        <v>334</v>
      </c>
      <c r="E323" s="2" t="s">
        <v>471</v>
      </c>
      <c r="F323" s="2" t="s">
        <v>544</v>
      </c>
      <c r="G323" s="2" t="s">
        <v>549</v>
      </c>
      <c r="H323" s="2" t="s">
        <v>553</v>
      </c>
      <c r="I323" s="4">
        <v>1</v>
      </c>
      <c r="J323" s="5">
        <v>3045</v>
      </c>
      <c r="K323" s="5">
        <f>ROUND(IF(ISNUMBER(J323), I323*J323, I323),5)</f>
        <v>3045</v>
      </c>
    </row>
    <row r="324" spans="1:11" x14ac:dyDescent="0.3">
      <c r="A324" s="2" t="s">
        <v>11</v>
      </c>
      <c r="B324" s="3">
        <v>45873</v>
      </c>
      <c r="C324" s="2" t="s">
        <v>207</v>
      </c>
      <c r="D324" s="2" t="s">
        <v>343</v>
      </c>
      <c r="E324" s="2" t="s">
        <v>456</v>
      </c>
      <c r="F324" s="2" t="s">
        <v>542</v>
      </c>
      <c r="G324" s="2" t="s">
        <v>551</v>
      </c>
      <c r="H324" s="2" t="s">
        <v>553</v>
      </c>
      <c r="I324" s="4">
        <v>12</v>
      </c>
      <c r="J324" s="5">
        <v>14000</v>
      </c>
      <c r="K324" s="5">
        <f>ROUND(IF(ISNUMBER(J324), I324*J324, I324),5)</f>
        <v>168000</v>
      </c>
    </row>
    <row r="325" spans="1:11" x14ac:dyDescent="0.3">
      <c r="A325" s="2" t="s">
        <v>11</v>
      </c>
      <c r="B325" s="3">
        <v>45873</v>
      </c>
      <c r="C325" s="2" t="s">
        <v>208</v>
      </c>
      <c r="D325" s="2" t="s">
        <v>411</v>
      </c>
      <c r="E325" s="2" t="s">
        <v>444</v>
      </c>
      <c r="F325" s="2" t="s">
        <v>519</v>
      </c>
      <c r="G325" s="2" t="s">
        <v>551</v>
      </c>
      <c r="H325" s="2" t="s">
        <v>553</v>
      </c>
      <c r="I325" s="4">
        <v>1</v>
      </c>
      <c r="J325" s="5">
        <v>129000</v>
      </c>
      <c r="K325" s="5">
        <f>ROUND(IF(ISNUMBER(J325), I325*J325, I325),5)</f>
        <v>129000</v>
      </c>
    </row>
    <row r="326" spans="1:11" x14ac:dyDescent="0.3">
      <c r="A326" s="2" t="s">
        <v>11</v>
      </c>
      <c r="B326" s="3">
        <v>45874</v>
      </c>
      <c r="C326" s="2" t="s">
        <v>209</v>
      </c>
      <c r="D326" s="2" t="s">
        <v>348</v>
      </c>
      <c r="E326" s="2" t="s">
        <v>502</v>
      </c>
      <c r="F326" s="2" t="s">
        <v>542</v>
      </c>
      <c r="G326" s="2" t="s">
        <v>551</v>
      </c>
      <c r="H326" s="2" t="s">
        <v>553</v>
      </c>
      <c r="I326" s="4">
        <v>1</v>
      </c>
      <c r="J326" s="5">
        <v>57000</v>
      </c>
      <c r="K326" s="5">
        <f>ROUND(IF(ISNUMBER(J326), I326*J326, I326),5)</f>
        <v>57000</v>
      </c>
    </row>
    <row r="327" spans="1:11" x14ac:dyDescent="0.3">
      <c r="A327" s="2" t="s">
        <v>11</v>
      </c>
      <c r="B327" s="3">
        <v>45874</v>
      </c>
      <c r="C327" s="2" t="s">
        <v>210</v>
      </c>
      <c r="D327" s="2" t="s">
        <v>408</v>
      </c>
      <c r="E327" s="2" t="s">
        <v>469</v>
      </c>
      <c r="F327" s="2" t="s">
        <v>545</v>
      </c>
      <c r="G327" s="2" t="s">
        <v>548</v>
      </c>
      <c r="H327" s="2" t="s">
        <v>553</v>
      </c>
      <c r="I327" s="4">
        <v>1</v>
      </c>
      <c r="J327" s="5">
        <v>32000</v>
      </c>
      <c r="K327" s="5">
        <f>ROUND(IF(ISNUMBER(J327), I327*J327, I327),5)</f>
        <v>32000</v>
      </c>
    </row>
    <row r="328" spans="1:11" x14ac:dyDescent="0.3">
      <c r="A328" s="2" t="s">
        <v>11</v>
      </c>
      <c r="B328" s="3">
        <v>45875</v>
      </c>
      <c r="C328" s="2" t="s">
        <v>211</v>
      </c>
      <c r="D328" s="2" t="s">
        <v>412</v>
      </c>
      <c r="E328" s="2" t="s">
        <v>517</v>
      </c>
      <c r="F328" s="2" t="s">
        <v>519</v>
      </c>
      <c r="G328" s="2" t="s">
        <v>551</v>
      </c>
      <c r="H328" s="2" t="s">
        <v>553</v>
      </c>
      <c r="I328" s="4">
        <v>1</v>
      </c>
      <c r="J328" s="5">
        <v>157000</v>
      </c>
      <c r="K328" s="5">
        <f>ROUND(IF(ISNUMBER(J328), I328*J328, I328),5)</f>
        <v>157000</v>
      </c>
    </row>
    <row r="329" spans="1:11" x14ac:dyDescent="0.3">
      <c r="A329" s="2" t="s">
        <v>11</v>
      </c>
      <c r="B329" s="3">
        <v>45875</v>
      </c>
      <c r="C329" s="2" t="s">
        <v>211</v>
      </c>
      <c r="D329" s="2" t="s">
        <v>412</v>
      </c>
      <c r="E329" s="2" t="s">
        <v>453</v>
      </c>
      <c r="F329" s="2" t="s">
        <v>540</v>
      </c>
      <c r="G329" s="2" t="s">
        <v>551</v>
      </c>
      <c r="H329" s="2" t="s">
        <v>553</v>
      </c>
      <c r="I329" s="4">
        <v>3</v>
      </c>
      <c r="J329" s="5">
        <v>83000</v>
      </c>
      <c r="K329" s="5">
        <f>ROUND(IF(ISNUMBER(J329), I329*J329, I329),5)</f>
        <v>249000</v>
      </c>
    </row>
    <row r="330" spans="1:11" x14ac:dyDescent="0.3">
      <c r="A330" s="2" t="s">
        <v>11</v>
      </c>
      <c r="B330" s="3">
        <v>45875</v>
      </c>
      <c r="C330" s="2" t="s">
        <v>212</v>
      </c>
      <c r="D330" s="2" t="s">
        <v>330</v>
      </c>
      <c r="E330" s="2" t="s">
        <v>446</v>
      </c>
      <c r="F330" s="2" t="s">
        <v>519</v>
      </c>
      <c r="G330" s="2" t="s">
        <v>549</v>
      </c>
      <c r="H330" s="2" t="s">
        <v>553</v>
      </c>
      <c r="I330" s="4">
        <v>1</v>
      </c>
      <c r="J330" s="5">
        <v>64000</v>
      </c>
      <c r="K330" s="5">
        <f>ROUND(IF(ISNUMBER(J330), I330*J330, I330),5)</f>
        <v>64000</v>
      </c>
    </row>
    <row r="331" spans="1:11" x14ac:dyDescent="0.3">
      <c r="A331" s="2" t="s">
        <v>11</v>
      </c>
      <c r="B331" s="3">
        <v>45875</v>
      </c>
      <c r="C331" s="2" t="s">
        <v>213</v>
      </c>
      <c r="D331" s="2" t="s">
        <v>344</v>
      </c>
      <c r="E331" s="2" t="s">
        <v>492</v>
      </c>
      <c r="F331" s="2" t="s">
        <v>542</v>
      </c>
      <c r="G331" s="2" t="s">
        <v>550</v>
      </c>
      <c r="H331" s="2" t="s">
        <v>554</v>
      </c>
      <c r="I331" s="4">
        <v>2</v>
      </c>
      <c r="J331" s="5">
        <v>3894</v>
      </c>
      <c r="K331" s="5">
        <f>ROUND(IF(ISNUMBER(J331), I331*J331, I331),5)</f>
        <v>7788</v>
      </c>
    </row>
    <row r="332" spans="1:11" x14ac:dyDescent="0.3">
      <c r="A332" s="2" t="s">
        <v>11</v>
      </c>
      <c r="B332" s="3">
        <v>45875</v>
      </c>
      <c r="C332" s="2" t="s">
        <v>213</v>
      </c>
      <c r="D332" s="2" t="s">
        <v>344</v>
      </c>
      <c r="E332" s="2" t="s">
        <v>490</v>
      </c>
      <c r="F332" s="2" t="s">
        <v>542</v>
      </c>
      <c r="G332" s="2" t="s">
        <v>550</v>
      </c>
      <c r="H332" s="2" t="s">
        <v>554</v>
      </c>
      <c r="I332" s="4">
        <v>1</v>
      </c>
      <c r="J332" s="5">
        <v>5959</v>
      </c>
      <c r="K332" s="5">
        <f>ROUND(IF(ISNUMBER(J332), I332*J332, I332),5)</f>
        <v>5959</v>
      </c>
    </row>
    <row r="333" spans="1:11" x14ac:dyDescent="0.3">
      <c r="A333" s="2" t="s">
        <v>11</v>
      </c>
      <c r="B333" s="3">
        <v>45876</v>
      </c>
      <c r="C333" s="2" t="s">
        <v>214</v>
      </c>
      <c r="D333" s="2" t="s">
        <v>413</v>
      </c>
      <c r="E333" s="2" t="s">
        <v>521</v>
      </c>
      <c r="F333" s="2" t="s">
        <v>540</v>
      </c>
      <c r="G333" s="2" t="s">
        <v>549</v>
      </c>
      <c r="H333" s="2" t="s">
        <v>553</v>
      </c>
      <c r="I333" s="4">
        <v>1</v>
      </c>
      <c r="J333" s="5">
        <v>57000</v>
      </c>
      <c r="K333" s="5">
        <f>ROUND(IF(ISNUMBER(J333), I333*J333, I333),5)</f>
        <v>57000</v>
      </c>
    </row>
    <row r="334" spans="1:11" x14ac:dyDescent="0.3">
      <c r="A334" s="2" t="s">
        <v>11</v>
      </c>
      <c r="B334" s="3">
        <v>45880</v>
      </c>
      <c r="C334" s="2" t="s">
        <v>215</v>
      </c>
      <c r="D334" s="2" t="s">
        <v>390</v>
      </c>
      <c r="E334" s="2" t="s">
        <v>513</v>
      </c>
      <c r="F334" s="2" t="s">
        <v>546</v>
      </c>
      <c r="G334" s="2" t="s">
        <v>548</v>
      </c>
      <c r="H334" s="2" t="s">
        <v>553</v>
      </c>
      <c r="I334" s="4">
        <v>1</v>
      </c>
      <c r="J334" s="5">
        <v>15000</v>
      </c>
      <c r="K334" s="5">
        <f>ROUND(IF(ISNUMBER(J334), I334*J334, I334),5)</f>
        <v>15000</v>
      </c>
    </row>
    <row r="335" spans="1:11" x14ac:dyDescent="0.3">
      <c r="A335" s="2" t="s">
        <v>11</v>
      </c>
      <c r="B335" s="3">
        <v>45881</v>
      </c>
      <c r="C335" s="2" t="s">
        <v>216</v>
      </c>
      <c r="D335" s="2" t="s">
        <v>348</v>
      </c>
      <c r="E335" s="2" t="s">
        <v>522</v>
      </c>
      <c r="F335" s="2" t="s">
        <v>519</v>
      </c>
      <c r="G335" s="2" t="s">
        <v>551</v>
      </c>
      <c r="H335" s="2" t="s">
        <v>553</v>
      </c>
      <c r="I335" s="4">
        <v>1</v>
      </c>
      <c r="J335" s="5">
        <v>367000</v>
      </c>
      <c r="K335" s="5">
        <f>ROUND(IF(ISNUMBER(J335), I335*J335, I335),5)</f>
        <v>367000</v>
      </c>
    </row>
    <row r="336" spans="1:11" x14ac:dyDescent="0.3">
      <c r="A336" s="2" t="s">
        <v>11</v>
      </c>
      <c r="B336" s="3">
        <v>45881</v>
      </c>
      <c r="C336" s="2" t="s">
        <v>216</v>
      </c>
      <c r="D336" s="2" t="s">
        <v>348</v>
      </c>
      <c r="E336" s="2" t="s">
        <v>523</v>
      </c>
      <c r="F336" s="2" t="s">
        <v>540</v>
      </c>
      <c r="G336" s="2" t="s">
        <v>551</v>
      </c>
      <c r="H336" s="2" t="s">
        <v>553</v>
      </c>
      <c r="I336" s="4">
        <v>2</v>
      </c>
      <c r="J336" s="5">
        <v>112000</v>
      </c>
      <c r="K336" s="5">
        <f>ROUND(IF(ISNUMBER(J336), I336*J336, I336),5)</f>
        <v>224000</v>
      </c>
    </row>
    <row r="337" spans="1:11" x14ac:dyDescent="0.3">
      <c r="A337" s="2" t="s">
        <v>11</v>
      </c>
      <c r="B337" s="3">
        <v>45881</v>
      </c>
      <c r="C337" s="2" t="s">
        <v>217</v>
      </c>
      <c r="D337" s="2" t="s">
        <v>414</v>
      </c>
      <c r="E337" s="2" t="s">
        <v>442</v>
      </c>
      <c r="F337" s="2" t="s">
        <v>540</v>
      </c>
      <c r="G337" s="2" t="s">
        <v>551</v>
      </c>
      <c r="H337" s="2" t="s">
        <v>553</v>
      </c>
      <c r="I337" s="4">
        <v>1</v>
      </c>
      <c r="J337" s="5">
        <v>42500</v>
      </c>
      <c r="K337" s="5">
        <f>ROUND(IF(ISNUMBER(J337), I337*J337, I337),5)</f>
        <v>42500</v>
      </c>
    </row>
    <row r="338" spans="1:11" x14ac:dyDescent="0.3">
      <c r="A338" s="2" t="s">
        <v>11</v>
      </c>
      <c r="B338" s="3">
        <v>45882</v>
      </c>
      <c r="C338" s="2" t="s">
        <v>218</v>
      </c>
      <c r="D338" s="2" t="s">
        <v>329</v>
      </c>
      <c r="E338" s="2" t="s">
        <v>465</v>
      </c>
      <c r="F338" s="2" t="s">
        <v>544</v>
      </c>
      <c r="G338" s="2" t="s">
        <v>548</v>
      </c>
      <c r="H338" s="2" t="s">
        <v>553</v>
      </c>
      <c r="I338" s="4">
        <v>1</v>
      </c>
      <c r="J338" s="5">
        <v>149000</v>
      </c>
      <c r="K338" s="5">
        <f>ROUND(IF(ISNUMBER(J338), I338*J338, I338),5)</f>
        <v>149000</v>
      </c>
    </row>
    <row r="339" spans="1:11" x14ac:dyDescent="0.3">
      <c r="A339" s="2" t="s">
        <v>11</v>
      </c>
      <c r="B339" s="3">
        <v>45882</v>
      </c>
      <c r="C339" s="2" t="s">
        <v>218</v>
      </c>
      <c r="D339" s="2" t="s">
        <v>329</v>
      </c>
      <c r="E339" s="2" t="s">
        <v>524</v>
      </c>
      <c r="F339" s="2" t="s">
        <v>546</v>
      </c>
      <c r="G339" s="2" t="s">
        <v>548</v>
      </c>
      <c r="H339" s="2" t="s">
        <v>553</v>
      </c>
      <c r="I339" s="4">
        <v>1</v>
      </c>
      <c r="J339" s="5">
        <v>37250</v>
      </c>
      <c r="K339" s="5">
        <f>ROUND(IF(ISNUMBER(J339), I339*J339, I339),5)</f>
        <v>37250</v>
      </c>
    </row>
    <row r="340" spans="1:11" x14ac:dyDescent="0.3">
      <c r="A340" s="2" t="s">
        <v>11</v>
      </c>
      <c r="B340" s="3">
        <v>45882</v>
      </c>
      <c r="C340" s="2" t="s">
        <v>219</v>
      </c>
      <c r="D340" s="2" t="s">
        <v>415</v>
      </c>
      <c r="E340" s="2" t="s">
        <v>454</v>
      </c>
      <c r="F340" s="2" t="s">
        <v>543</v>
      </c>
      <c r="G340" s="2" t="s">
        <v>548</v>
      </c>
      <c r="H340" s="2" t="s">
        <v>553</v>
      </c>
      <c r="I340" s="4">
        <v>1</v>
      </c>
      <c r="J340" s="5">
        <v>192000</v>
      </c>
      <c r="K340" s="5">
        <f>ROUND(IF(ISNUMBER(J340), I340*J340, I340),5)</f>
        <v>192000</v>
      </c>
    </row>
    <row r="341" spans="1:11" x14ac:dyDescent="0.3">
      <c r="A341" s="2" t="s">
        <v>11</v>
      </c>
      <c r="B341" s="3">
        <v>45883</v>
      </c>
      <c r="C341" s="2" t="s">
        <v>220</v>
      </c>
      <c r="D341" s="2" t="s">
        <v>416</v>
      </c>
      <c r="E341" s="2" t="s">
        <v>487</v>
      </c>
      <c r="F341" s="2" t="s">
        <v>542</v>
      </c>
      <c r="G341" s="2" t="s">
        <v>550</v>
      </c>
      <c r="H341" s="2" t="s">
        <v>554</v>
      </c>
      <c r="I341" s="4">
        <v>1</v>
      </c>
      <c r="J341" s="5">
        <v>26500</v>
      </c>
      <c r="K341" s="5">
        <f>ROUND(IF(ISNUMBER(J341), I341*J341, I341),5)</f>
        <v>26500</v>
      </c>
    </row>
    <row r="342" spans="1:11" x14ac:dyDescent="0.3">
      <c r="A342" s="2" t="s">
        <v>11</v>
      </c>
      <c r="B342" s="3">
        <v>45884</v>
      </c>
      <c r="C342" s="2" t="s">
        <v>221</v>
      </c>
      <c r="D342" s="2" t="s">
        <v>338</v>
      </c>
      <c r="E342" s="2" t="s">
        <v>452</v>
      </c>
      <c r="F342" s="2" t="s">
        <v>542</v>
      </c>
      <c r="G342" s="2" t="s">
        <v>550</v>
      </c>
      <c r="H342" s="2" t="s">
        <v>554</v>
      </c>
      <c r="I342" s="4">
        <v>1</v>
      </c>
      <c r="J342" s="5">
        <v>10500</v>
      </c>
      <c r="K342" s="5">
        <f>ROUND(IF(ISNUMBER(J342), I342*J342, I342),5)</f>
        <v>10500</v>
      </c>
    </row>
    <row r="343" spans="1:11" x14ac:dyDescent="0.3">
      <c r="A343" s="2" t="s">
        <v>11</v>
      </c>
      <c r="B343" s="3">
        <v>45887</v>
      </c>
      <c r="C343" s="2" t="s">
        <v>222</v>
      </c>
      <c r="D343" s="2" t="s">
        <v>392</v>
      </c>
      <c r="E343" s="2" t="s">
        <v>454</v>
      </c>
      <c r="F343" s="2" t="s">
        <v>543</v>
      </c>
      <c r="G343" s="2" t="s">
        <v>552</v>
      </c>
      <c r="H343" s="2" t="s">
        <v>554</v>
      </c>
      <c r="I343" s="4">
        <v>1</v>
      </c>
      <c r="J343" s="5">
        <v>1500</v>
      </c>
      <c r="K343" s="5">
        <f>ROUND(IF(ISNUMBER(J343), I343*J343, I343),5)</f>
        <v>1500</v>
      </c>
    </row>
    <row r="344" spans="1:11" x14ac:dyDescent="0.3">
      <c r="A344" s="2" t="s">
        <v>11</v>
      </c>
      <c r="B344" s="3">
        <v>45887</v>
      </c>
      <c r="C344" s="2" t="s">
        <v>223</v>
      </c>
      <c r="D344" s="2" t="s">
        <v>402</v>
      </c>
      <c r="E344" s="2" t="s">
        <v>454</v>
      </c>
      <c r="F344" s="2" t="s">
        <v>543</v>
      </c>
      <c r="G344" s="2" t="s">
        <v>552</v>
      </c>
      <c r="H344" s="2" t="s">
        <v>554</v>
      </c>
      <c r="I344" s="4">
        <v>1</v>
      </c>
      <c r="J344" s="5">
        <v>12500</v>
      </c>
      <c r="K344" s="5">
        <f>ROUND(IF(ISNUMBER(J344), I344*J344, I344),5)</f>
        <v>12500</v>
      </c>
    </row>
    <row r="345" spans="1:11" x14ac:dyDescent="0.3">
      <c r="A345" s="2" t="s">
        <v>11</v>
      </c>
      <c r="B345" s="3">
        <v>45887</v>
      </c>
      <c r="C345" s="2" t="s">
        <v>224</v>
      </c>
      <c r="D345" s="2" t="s">
        <v>328</v>
      </c>
      <c r="E345" s="2" t="s">
        <v>454</v>
      </c>
      <c r="F345" s="2" t="s">
        <v>543</v>
      </c>
      <c r="G345" s="2" t="s">
        <v>552</v>
      </c>
      <c r="H345" s="2" t="s">
        <v>554</v>
      </c>
      <c r="I345" s="4">
        <v>1</v>
      </c>
      <c r="J345" s="5">
        <v>2000</v>
      </c>
      <c r="K345" s="5">
        <f>ROUND(IF(ISNUMBER(J345), I345*J345, I345),5)</f>
        <v>2000</v>
      </c>
    </row>
    <row r="346" spans="1:11" x14ac:dyDescent="0.3">
      <c r="A346" s="2" t="s">
        <v>11</v>
      </c>
      <c r="B346" s="3">
        <v>45887</v>
      </c>
      <c r="C346" s="2" t="s">
        <v>225</v>
      </c>
      <c r="D346" s="2" t="s">
        <v>328</v>
      </c>
      <c r="E346" s="2" t="s">
        <v>454</v>
      </c>
      <c r="F346" s="2" t="s">
        <v>543</v>
      </c>
      <c r="G346" s="2" t="s">
        <v>552</v>
      </c>
      <c r="H346" s="2" t="s">
        <v>554</v>
      </c>
      <c r="I346" s="4">
        <v>1</v>
      </c>
      <c r="J346" s="5">
        <v>2000</v>
      </c>
      <c r="K346" s="5">
        <f>ROUND(IF(ISNUMBER(J346), I346*J346, I346),5)</f>
        <v>2000</v>
      </c>
    </row>
    <row r="347" spans="1:11" x14ac:dyDescent="0.3">
      <c r="A347" s="2" t="s">
        <v>11</v>
      </c>
      <c r="B347" s="3">
        <v>45887</v>
      </c>
      <c r="C347" s="2" t="s">
        <v>226</v>
      </c>
      <c r="D347" s="2" t="s">
        <v>404</v>
      </c>
      <c r="E347" s="2" t="s">
        <v>491</v>
      </c>
      <c r="F347" s="2" t="s">
        <v>542</v>
      </c>
      <c r="G347" s="2" t="s">
        <v>548</v>
      </c>
      <c r="H347" s="2" t="s">
        <v>553</v>
      </c>
      <c r="I347" s="4">
        <v>3</v>
      </c>
      <c r="J347" s="5">
        <v>39500</v>
      </c>
      <c r="K347" s="5">
        <f>ROUND(IF(ISNUMBER(J347), I347*J347, I347),5)</f>
        <v>118500</v>
      </c>
    </row>
    <row r="348" spans="1:11" x14ac:dyDescent="0.3">
      <c r="A348" s="2" t="s">
        <v>11</v>
      </c>
      <c r="B348" s="3">
        <v>45887</v>
      </c>
      <c r="C348" s="2" t="s">
        <v>227</v>
      </c>
      <c r="D348" s="2" t="s">
        <v>335</v>
      </c>
      <c r="E348" s="2" t="s">
        <v>472</v>
      </c>
      <c r="F348" s="2" t="s">
        <v>544</v>
      </c>
      <c r="G348" s="2" t="s">
        <v>549</v>
      </c>
      <c r="H348" s="2" t="s">
        <v>553</v>
      </c>
      <c r="I348" s="4">
        <v>1</v>
      </c>
      <c r="J348" s="5">
        <v>6760.44</v>
      </c>
      <c r="K348" s="5">
        <f>ROUND(IF(ISNUMBER(J348), I348*J348, I348),5)</f>
        <v>6760.44</v>
      </c>
    </row>
    <row r="349" spans="1:11" x14ac:dyDescent="0.3">
      <c r="A349" s="2" t="s">
        <v>11</v>
      </c>
      <c r="B349" s="3">
        <v>45887</v>
      </c>
      <c r="C349" s="2" t="s">
        <v>228</v>
      </c>
      <c r="D349" s="2" t="s">
        <v>335</v>
      </c>
      <c r="E349" s="2" t="s">
        <v>473</v>
      </c>
      <c r="F349" s="2" t="s">
        <v>544</v>
      </c>
      <c r="G349" s="2" t="s">
        <v>549</v>
      </c>
      <c r="H349" s="2" t="s">
        <v>553</v>
      </c>
      <c r="I349" s="4">
        <v>1</v>
      </c>
      <c r="J349" s="5">
        <v>18550.12</v>
      </c>
      <c r="K349" s="5">
        <f>ROUND(IF(ISNUMBER(J349), I349*J349, I349),5)</f>
        <v>18550.12</v>
      </c>
    </row>
    <row r="350" spans="1:11" x14ac:dyDescent="0.3">
      <c r="A350" s="2" t="s">
        <v>11</v>
      </c>
      <c r="B350" s="3">
        <v>45887</v>
      </c>
      <c r="C350" s="2" t="s">
        <v>229</v>
      </c>
      <c r="D350" s="2" t="s">
        <v>336</v>
      </c>
      <c r="E350" s="2" t="s">
        <v>473</v>
      </c>
      <c r="F350" s="2" t="s">
        <v>544</v>
      </c>
      <c r="G350" s="2" t="s">
        <v>549</v>
      </c>
      <c r="H350" s="2" t="s">
        <v>553</v>
      </c>
      <c r="I350" s="4">
        <v>1</v>
      </c>
      <c r="J350" s="5">
        <v>15212.5</v>
      </c>
      <c r="K350" s="5">
        <f>ROUND(IF(ISNUMBER(J350), I350*J350, I350),5)</f>
        <v>15212.5</v>
      </c>
    </row>
    <row r="351" spans="1:11" x14ac:dyDescent="0.3">
      <c r="A351" s="2" t="s">
        <v>11</v>
      </c>
      <c r="B351" s="3">
        <v>45887</v>
      </c>
      <c r="C351" s="2" t="s">
        <v>230</v>
      </c>
      <c r="D351" s="2" t="s">
        <v>329</v>
      </c>
      <c r="E351" s="2" t="s">
        <v>481</v>
      </c>
      <c r="F351" s="2" t="s">
        <v>519</v>
      </c>
      <c r="G351" s="2" t="s">
        <v>551</v>
      </c>
      <c r="H351" s="2" t="s">
        <v>553</v>
      </c>
      <c r="I351" s="4">
        <v>1</v>
      </c>
      <c r="J351" s="5">
        <v>562000</v>
      </c>
      <c r="K351" s="5">
        <f>ROUND(IF(ISNUMBER(J351), I351*J351, I351),5)</f>
        <v>562000</v>
      </c>
    </row>
    <row r="352" spans="1:11" x14ac:dyDescent="0.3">
      <c r="A352" s="2" t="s">
        <v>11</v>
      </c>
      <c r="B352" s="3">
        <v>45887</v>
      </c>
      <c r="C352" s="2" t="s">
        <v>230</v>
      </c>
      <c r="D352" s="2" t="s">
        <v>329</v>
      </c>
      <c r="E352" s="2" t="s">
        <v>442</v>
      </c>
      <c r="F352" s="2" t="s">
        <v>540</v>
      </c>
      <c r="G352" s="2" t="s">
        <v>551</v>
      </c>
      <c r="H352" s="2" t="s">
        <v>553</v>
      </c>
      <c r="I352" s="4">
        <v>4</v>
      </c>
      <c r="J352" s="5">
        <v>59000</v>
      </c>
      <c r="K352" s="5">
        <f>ROUND(IF(ISNUMBER(J352), I352*J352, I352),5)</f>
        <v>236000</v>
      </c>
    </row>
    <row r="353" spans="1:11" x14ac:dyDescent="0.3">
      <c r="A353" s="2" t="s">
        <v>11</v>
      </c>
      <c r="B353" s="3">
        <v>45887</v>
      </c>
      <c r="C353" s="2" t="s">
        <v>230</v>
      </c>
      <c r="D353" s="2" t="s">
        <v>329</v>
      </c>
      <c r="E353" s="2" t="s">
        <v>483</v>
      </c>
      <c r="F353" s="2" t="s">
        <v>519</v>
      </c>
      <c r="G353" s="2" t="s">
        <v>551</v>
      </c>
      <c r="H353" s="2" t="s">
        <v>553</v>
      </c>
      <c r="I353" s="4">
        <v>1</v>
      </c>
      <c r="J353" s="5"/>
      <c r="K353" s="5"/>
    </row>
    <row r="354" spans="1:11" x14ac:dyDescent="0.3">
      <c r="A354" s="2" t="s">
        <v>11</v>
      </c>
      <c r="B354" s="3">
        <v>45888</v>
      </c>
      <c r="C354" s="2" t="s">
        <v>231</v>
      </c>
      <c r="D354" s="2" t="s">
        <v>417</v>
      </c>
      <c r="E354" s="2" t="s">
        <v>510</v>
      </c>
      <c r="F354" s="2" t="s">
        <v>542</v>
      </c>
      <c r="G354" s="2" t="s">
        <v>551</v>
      </c>
      <c r="H354" s="2" t="s">
        <v>553</v>
      </c>
      <c r="I354" s="4">
        <v>1</v>
      </c>
      <c r="J354" s="5">
        <v>27700</v>
      </c>
      <c r="K354" s="5">
        <f>ROUND(IF(ISNUMBER(J354), I354*J354, I354),5)</f>
        <v>27700</v>
      </c>
    </row>
    <row r="355" spans="1:11" x14ac:dyDescent="0.3">
      <c r="A355" s="2" t="s">
        <v>11</v>
      </c>
      <c r="B355" s="3">
        <v>45888</v>
      </c>
      <c r="C355" s="2" t="s">
        <v>232</v>
      </c>
      <c r="D355" s="2" t="s">
        <v>418</v>
      </c>
      <c r="E355" s="2" t="s">
        <v>522</v>
      </c>
      <c r="F355" s="2" t="s">
        <v>519</v>
      </c>
      <c r="G355" s="2" t="s">
        <v>549</v>
      </c>
      <c r="H355" s="2" t="s">
        <v>553</v>
      </c>
      <c r="I355" s="4">
        <v>2</v>
      </c>
      <c r="J355" s="5">
        <v>367000</v>
      </c>
      <c r="K355" s="5">
        <f>ROUND(IF(ISNUMBER(J355), I355*J355, I355),5)</f>
        <v>734000</v>
      </c>
    </row>
    <row r="356" spans="1:11" x14ac:dyDescent="0.3">
      <c r="A356" s="2" t="s">
        <v>11</v>
      </c>
      <c r="B356" s="3">
        <v>45888</v>
      </c>
      <c r="C356" s="2" t="s">
        <v>232</v>
      </c>
      <c r="D356" s="2" t="s">
        <v>418</v>
      </c>
      <c r="E356" s="2" t="s">
        <v>453</v>
      </c>
      <c r="F356" s="2" t="s">
        <v>540</v>
      </c>
      <c r="G356" s="2" t="s">
        <v>549</v>
      </c>
      <c r="H356" s="2" t="s">
        <v>553</v>
      </c>
      <c r="I356" s="4">
        <v>8</v>
      </c>
      <c r="J356" s="5">
        <v>83000</v>
      </c>
      <c r="K356" s="5">
        <f>ROUND(IF(ISNUMBER(J356), I356*J356, I356),5)</f>
        <v>664000</v>
      </c>
    </row>
    <row r="357" spans="1:11" x14ac:dyDescent="0.3">
      <c r="A357" s="2" t="s">
        <v>11</v>
      </c>
      <c r="B357" s="3">
        <v>45888</v>
      </c>
      <c r="C357" s="2" t="s">
        <v>233</v>
      </c>
      <c r="D357" s="2" t="s">
        <v>338</v>
      </c>
      <c r="E357" s="2" t="s">
        <v>452</v>
      </c>
      <c r="F357" s="2" t="s">
        <v>542</v>
      </c>
      <c r="G357" s="2" t="s">
        <v>550</v>
      </c>
      <c r="H357" s="2" t="s">
        <v>554</v>
      </c>
      <c r="I357" s="4">
        <v>2</v>
      </c>
      <c r="J357" s="5">
        <v>10500</v>
      </c>
      <c r="K357" s="5">
        <f>ROUND(IF(ISNUMBER(J357), I357*J357, I357),5)</f>
        <v>21000</v>
      </c>
    </row>
    <row r="358" spans="1:11" x14ac:dyDescent="0.3">
      <c r="A358" s="2" t="s">
        <v>11</v>
      </c>
      <c r="B358" s="3">
        <v>45888</v>
      </c>
      <c r="C358" s="2" t="s">
        <v>234</v>
      </c>
      <c r="D358" s="2" t="s">
        <v>398</v>
      </c>
      <c r="E358" s="2" t="s">
        <v>490</v>
      </c>
      <c r="F358" s="2" t="s">
        <v>542</v>
      </c>
      <c r="G358" s="2" t="s">
        <v>549</v>
      </c>
      <c r="H358" s="2" t="s">
        <v>554</v>
      </c>
      <c r="I358" s="4">
        <v>1</v>
      </c>
      <c r="J358" s="5">
        <v>11800</v>
      </c>
      <c r="K358" s="5">
        <f>ROUND(IF(ISNUMBER(J358), I358*J358, I358),5)</f>
        <v>11800</v>
      </c>
    </row>
    <row r="359" spans="1:11" x14ac:dyDescent="0.3">
      <c r="A359" s="2" t="s">
        <v>11</v>
      </c>
      <c r="B359" s="3">
        <v>45889</v>
      </c>
      <c r="C359" s="2" t="s">
        <v>235</v>
      </c>
      <c r="D359" s="2" t="s">
        <v>419</v>
      </c>
      <c r="E359" s="2" t="s">
        <v>525</v>
      </c>
      <c r="F359" s="2" t="s">
        <v>519</v>
      </c>
      <c r="G359" s="2" t="s">
        <v>549</v>
      </c>
      <c r="H359" s="2" t="s">
        <v>553</v>
      </c>
      <c r="I359" s="4">
        <v>1</v>
      </c>
      <c r="J359" s="5">
        <v>282000</v>
      </c>
      <c r="K359" s="5">
        <f>ROUND(IF(ISNUMBER(J359), I359*J359, I359),5)</f>
        <v>282000</v>
      </c>
    </row>
    <row r="360" spans="1:11" x14ac:dyDescent="0.3">
      <c r="A360" s="2" t="s">
        <v>11</v>
      </c>
      <c r="B360" s="3">
        <v>45889</v>
      </c>
      <c r="C360" s="2" t="s">
        <v>235</v>
      </c>
      <c r="D360" s="2" t="s">
        <v>419</v>
      </c>
      <c r="E360" s="2" t="s">
        <v>472</v>
      </c>
      <c r="F360" s="2" t="s">
        <v>544</v>
      </c>
      <c r="G360" s="2" t="s">
        <v>549</v>
      </c>
      <c r="H360" s="2" t="s">
        <v>553</v>
      </c>
      <c r="I360" s="4">
        <v>1</v>
      </c>
      <c r="J360" s="5">
        <v>10000</v>
      </c>
      <c r="K360" s="5">
        <f>ROUND(IF(ISNUMBER(J360), I360*J360, I360),5)</f>
        <v>10000</v>
      </c>
    </row>
    <row r="361" spans="1:11" x14ac:dyDescent="0.3">
      <c r="A361" s="2" t="s">
        <v>11</v>
      </c>
      <c r="B361" s="3">
        <v>45889</v>
      </c>
      <c r="C361" s="2" t="s">
        <v>235</v>
      </c>
      <c r="D361" s="2" t="s">
        <v>419</v>
      </c>
      <c r="E361" s="2" t="s">
        <v>472</v>
      </c>
      <c r="F361" s="2" t="s">
        <v>544</v>
      </c>
      <c r="G361" s="2" t="s">
        <v>549</v>
      </c>
      <c r="H361" s="2" t="s">
        <v>553</v>
      </c>
      <c r="I361" s="4">
        <v>1</v>
      </c>
      <c r="J361" s="5">
        <v>10000</v>
      </c>
      <c r="K361" s="5">
        <f>ROUND(IF(ISNUMBER(J361), I361*J361, I361),5)</f>
        <v>10000</v>
      </c>
    </row>
    <row r="362" spans="1:11" x14ac:dyDescent="0.3">
      <c r="A362" s="2" t="s">
        <v>11</v>
      </c>
      <c r="B362" s="3">
        <v>45889</v>
      </c>
      <c r="C362" s="2" t="s">
        <v>235</v>
      </c>
      <c r="D362" s="2" t="s">
        <v>419</v>
      </c>
      <c r="E362" s="2" t="s">
        <v>513</v>
      </c>
      <c r="F362" s="2" t="s">
        <v>546</v>
      </c>
      <c r="G362" s="2" t="s">
        <v>549</v>
      </c>
      <c r="H362" s="2" t="s">
        <v>553</v>
      </c>
      <c r="I362" s="4">
        <v>1</v>
      </c>
      <c r="J362" s="5">
        <v>30000</v>
      </c>
      <c r="K362" s="5">
        <f>ROUND(IF(ISNUMBER(J362), I362*J362, I362),5)</f>
        <v>30000</v>
      </c>
    </row>
    <row r="363" spans="1:11" x14ac:dyDescent="0.3">
      <c r="A363" s="2" t="s">
        <v>11</v>
      </c>
      <c r="B363" s="3">
        <v>45889</v>
      </c>
      <c r="C363" s="2" t="s">
        <v>235</v>
      </c>
      <c r="D363" s="2" t="s">
        <v>419</v>
      </c>
      <c r="E363" s="2" t="s">
        <v>441</v>
      </c>
      <c r="F363" s="2" t="s">
        <v>547</v>
      </c>
      <c r="G363" s="2" t="s">
        <v>549</v>
      </c>
      <c r="H363" s="2" t="s">
        <v>553</v>
      </c>
      <c r="I363" s="4"/>
      <c r="J363" s="5">
        <v>-5000</v>
      </c>
      <c r="K363" s="5">
        <v>-5000</v>
      </c>
    </row>
    <row r="364" spans="1:11" x14ac:dyDescent="0.3">
      <c r="A364" s="2" t="s">
        <v>11</v>
      </c>
      <c r="B364" s="3">
        <v>45890</v>
      </c>
      <c r="C364" s="2" t="s">
        <v>236</v>
      </c>
      <c r="D364" s="2" t="s">
        <v>312</v>
      </c>
      <c r="E364" s="2" t="s">
        <v>495</v>
      </c>
      <c r="F364" s="2" t="s">
        <v>540</v>
      </c>
      <c r="G364" s="2" t="s">
        <v>548</v>
      </c>
      <c r="H364" s="2" t="s">
        <v>553</v>
      </c>
      <c r="I364" s="4">
        <v>5</v>
      </c>
      <c r="J364" s="5">
        <v>114000</v>
      </c>
      <c r="K364" s="5">
        <f>ROUND(IF(ISNUMBER(J364), I364*J364, I364),5)</f>
        <v>570000</v>
      </c>
    </row>
    <row r="365" spans="1:11" x14ac:dyDescent="0.3">
      <c r="A365" s="2" t="s">
        <v>11</v>
      </c>
      <c r="B365" s="3">
        <v>45890</v>
      </c>
      <c r="C365" s="2" t="s">
        <v>236</v>
      </c>
      <c r="D365" s="2" t="s">
        <v>312</v>
      </c>
      <c r="E365" s="2" t="s">
        <v>526</v>
      </c>
      <c r="F365" s="2" t="s">
        <v>519</v>
      </c>
      <c r="G365" s="2" t="s">
        <v>548</v>
      </c>
      <c r="H365" s="2" t="s">
        <v>553</v>
      </c>
      <c r="I365" s="4">
        <v>1</v>
      </c>
      <c r="J365" s="5">
        <v>1427000</v>
      </c>
      <c r="K365" s="5">
        <f>ROUND(IF(ISNUMBER(J365), I365*J365, I365),5)</f>
        <v>1427000</v>
      </c>
    </row>
    <row r="366" spans="1:11" x14ac:dyDescent="0.3">
      <c r="A366" s="2" t="s">
        <v>11</v>
      </c>
      <c r="B366" s="3">
        <v>45890</v>
      </c>
      <c r="C366" s="2" t="s">
        <v>236</v>
      </c>
      <c r="D366" s="2" t="s">
        <v>312</v>
      </c>
      <c r="E366" s="2" t="s">
        <v>460</v>
      </c>
      <c r="F366" s="2" t="s">
        <v>519</v>
      </c>
      <c r="G366" s="2" t="s">
        <v>548</v>
      </c>
      <c r="H366" s="2" t="s">
        <v>553</v>
      </c>
      <c r="I366" s="4">
        <v>1</v>
      </c>
      <c r="J366" s="5"/>
      <c r="K366" s="5"/>
    </row>
    <row r="367" spans="1:11" x14ac:dyDescent="0.3">
      <c r="A367" s="2" t="s">
        <v>11</v>
      </c>
      <c r="B367" s="3">
        <v>45890</v>
      </c>
      <c r="C367" s="2" t="s">
        <v>237</v>
      </c>
      <c r="D367" s="2" t="s">
        <v>420</v>
      </c>
      <c r="E367" s="2" t="s">
        <v>522</v>
      </c>
      <c r="F367" s="2" t="s">
        <v>519</v>
      </c>
      <c r="G367" s="2" t="s">
        <v>549</v>
      </c>
      <c r="H367" s="2" t="s">
        <v>553</v>
      </c>
      <c r="I367" s="4">
        <v>1</v>
      </c>
      <c r="J367" s="5">
        <v>344000</v>
      </c>
      <c r="K367" s="5">
        <f>ROUND(IF(ISNUMBER(J367), I367*J367, I367),5)</f>
        <v>344000</v>
      </c>
    </row>
    <row r="368" spans="1:11" x14ac:dyDescent="0.3">
      <c r="A368" s="2" t="s">
        <v>11</v>
      </c>
      <c r="B368" s="3">
        <v>45890</v>
      </c>
      <c r="C368" s="2" t="s">
        <v>237</v>
      </c>
      <c r="D368" s="2" t="s">
        <v>420</v>
      </c>
      <c r="E368" s="2" t="s">
        <v>453</v>
      </c>
      <c r="F368" s="2" t="s">
        <v>540</v>
      </c>
      <c r="G368" s="2" t="s">
        <v>549</v>
      </c>
      <c r="H368" s="2" t="s">
        <v>553</v>
      </c>
      <c r="I368" s="4">
        <v>4</v>
      </c>
      <c r="J368" s="5">
        <v>87000</v>
      </c>
      <c r="K368" s="5">
        <f>ROUND(IF(ISNUMBER(J368), I368*J368, I368),5)</f>
        <v>348000</v>
      </c>
    </row>
    <row r="369" spans="1:11" x14ac:dyDescent="0.3">
      <c r="A369" s="2" t="s">
        <v>11</v>
      </c>
      <c r="B369" s="3">
        <v>45891</v>
      </c>
      <c r="C369" s="2" t="s">
        <v>238</v>
      </c>
      <c r="D369" s="2" t="s">
        <v>421</v>
      </c>
      <c r="E369" s="2" t="s">
        <v>444</v>
      </c>
      <c r="F369" s="2" t="s">
        <v>519</v>
      </c>
      <c r="G369" s="2" t="s">
        <v>548</v>
      </c>
      <c r="H369" s="2" t="s">
        <v>553</v>
      </c>
      <c r="I369" s="4">
        <v>1</v>
      </c>
      <c r="J369" s="5">
        <v>149000</v>
      </c>
      <c r="K369" s="5">
        <f>ROUND(IF(ISNUMBER(J369), I369*J369, I369),5)</f>
        <v>149000</v>
      </c>
    </row>
    <row r="370" spans="1:11" x14ac:dyDescent="0.3">
      <c r="A370" s="2" t="s">
        <v>11</v>
      </c>
      <c r="B370" s="3">
        <v>45891</v>
      </c>
      <c r="C370" s="2" t="s">
        <v>238</v>
      </c>
      <c r="D370" s="2" t="s">
        <v>421</v>
      </c>
      <c r="E370" s="2" t="s">
        <v>466</v>
      </c>
      <c r="F370" s="2" t="s">
        <v>540</v>
      </c>
      <c r="G370" s="2" t="s">
        <v>548</v>
      </c>
      <c r="H370" s="2" t="s">
        <v>553</v>
      </c>
      <c r="I370" s="4">
        <v>3</v>
      </c>
      <c r="J370" s="5">
        <v>62000</v>
      </c>
      <c r="K370" s="5">
        <f>ROUND(IF(ISNUMBER(J370), I370*J370, I370),5)</f>
        <v>186000</v>
      </c>
    </row>
    <row r="371" spans="1:11" x14ac:dyDescent="0.3">
      <c r="A371" s="2" t="s">
        <v>11</v>
      </c>
      <c r="B371" s="3">
        <v>45891</v>
      </c>
      <c r="C371" s="2" t="s">
        <v>238</v>
      </c>
      <c r="D371" s="2" t="s">
        <v>421</v>
      </c>
      <c r="E371" s="2" t="s">
        <v>441</v>
      </c>
      <c r="F371" s="2" t="s">
        <v>547</v>
      </c>
      <c r="G371" s="2" t="s">
        <v>548</v>
      </c>
      <c r="H371" s="2" t="s">
        <v>553</v>
      </c>
      <c r="I371" s="4"/>
      <c r="J371" s="5">
        <v>-14000</v>
      </c>
      <c r="K371" s="5">
        <v>-14000</v>
      </c>
    </row>
    <row r="372" spans="1:11" x14ac:dyDescent="0.3">
      <c r="A372" s="2" t="s">
        <v>11</v>
      </c>
      <c r="B372" s="3">
        <v>45892</v>
      </c>
      <c r="C372" s="2" t="s">
        <v>239</v>
      </c>
      <c r="D372" s="2" t="s">
        <v>313</v>
      </c>
      <c r="E372" s="2" t="s">
        <v>444</v>
      </c>
      <c r="F372" s="2" t="s">
        <v>519</v>
      </c>
      <c r="G372" s="2" t="s">
        <v>549</v>
      </c>
      <c r="H372" s="2" t="s">
        <v>553</v>
      </c>
      <c r="I372" s="4">
        <v>2</v>
      </c>
      <c r="J372" s="5">
        <v>130000</v>
      </c>
      <c r="K372" s="5">
        <f>ROUND(IF(ISNUMBER(J372), I372*J372, I372),5)</f>
        <v>260000</v>
      </c>
    </row>
    <row r="373" spans="1:11" x14ac:dyDescent="0.3">
      <c r="A373" s="2" t="s">
        <v>11</v>
      </c>
      <c r="B373" s="3">
        <v>45892</v>
      </c>
      <c r="C373" s="2" t="s">
        <v>240</v>
      </c>
      <c r="D373" s="2" t="s">
        <v>313</v>
      </c>
      <c r="E373" s="2" t="s">
        <v>511</v>
      </c>
      <c r="F373" s="2" t="s">
        <v>542</v>
      </c>
      <c r="G373" s="2" t="s">
        <v>550</v>
      </c>
      <c r="H373" s="2" t="s">
        <v>553</v>
      </c>
      <c r="I373" s="4">
        <v>1</v>
      </c>
      <c r="J373" s="5">
        <v>16271.18</v>
      </c>
      <c r="K373" s="5">
        <f>ROUND(IF(ISNUMBER(J373), I373*J373, I373),5)</f>
        <v>16271.18</v>
      </c>
    </row>
    <row r="374" spans="1:11" x14ac:dyDescent="0.3">
      <c r="A374" s="2" t="s">
        <v>11</v>
      </c>
      <c r="B374" s="3">
        <v>45892</v>
      </c>
      <c r="C374" s="2" t="s">
        <v>240</v>
      </c>
      <c r="D374" s="2" t="s">
        <v>313</v>
      </c>
      <c r="E374" s="2" t="s">
        <v>480</v>
      </c>
      <c r="F374" s="2" t="s">
        <v>542</v>
      </c>
      <c r="G374" s="2" t="s">
        <v>550</v>
      </c>
      <c r="H374" s="2" t="s">
        <v>553</v>
      </c>
      <c r="I374" s="4">
        <v>2</v>
      </c>
      <c r="J374" s="5">
        <v>6900</v>
      </c>
      <c r="K374" s="5">
        <f>ROUND(IF(ISNUMBER(J374), I374*J374, I374),5)</f>
        <v>13800</v>
      </c>
    </row>
    <row r="375" spans="1:11" x14ac:dyDescent="0.3">
      <c r="A375" s="2" t="s">
        <v>11</v>
      </c>
      <c r="B375" s="3">
        <v>45892</v>
      </c>
      <c r="C375" s="2" t="s">
        <v>240</v>
      </c>
      <c r="D375" s="2" t="s">
        <v>313</v>
      </c>
      <c r="E375" s="2" t="s">
        <v>490</v>
      </c>
      <c r="F375" s="2" t="s">
        <v>542</v>
      </c>
      <c r="G375" s="2" t="s">
        <v>550</v>
      </c>
      <c r="H375" s="2" t="s">
        <v>553</v>
      </c>
      <c r="I375" s="4">
        <v>10</v>
      </c>
      <c r="J375" s="5">
        <v>5000</v>
      </c>
      <c r="K375" s="5">
        <f>ROUND(IF(ISNUMBER(J375), I375*J375, I375),5)</f>
        <v>50000</v>
      </c>
    </row>
    <row r="376" spans="1:11" x14ac:dyDescent="0.3">
      <c r="A376" s="2" t="s">
        <v>11</v>
      </c>
      <c r="B376" s="3">
        <v>45894</v>
      </c>
      <c r="C376" s="2" t="s">
        <v>241</v>
      </c>
      <c r="D376" s="2" t="s">
        <v>422</v>
      </c>
      <c r="E376" s="2" t="s">
        <v>442</v>
      </c>
      <c r="F376" s="2" t="s">
        <v>540</v>
      </c>
      <c r="G376" s="2" t="s">
        <v>549</v>
      </c>
      <c r="H376" s="2" t="s">
        <v>553</v>
      </c>
      <c r="I376" s="4">
        <v>3</v>
      </c>
      <c r="J376" s="5">
        <v>47000</v>
      </c>
      <c r="K376" s="5">
        <f>ROUND(IF(ISNUMBER(J376), I376*J376, I376),5)</f>
        <v>141000</v>
      </c>
    </row>
    <row r="377" spans="1:11" x14ac:dyDescent="0.3">
      <c r="A377" s="2" t="s">
        <v>11</v>
      </c>
      <c r="B377" s="3">
        <v>45896</v>
      </c>
      <c r="C377" s="2" t="s">
        <v>242</v>
      </c>
      <c r="D377" s="2" t="s">
        <v>423</v>
      </c>
      <c r="E377" s="2" t="s">
        <v>517</v>
      </c>
      <c r="F377" s="2" t="s">
        <v>519</v>
      </c>
      <c r="G377" s="2" t="s">
        <v>548</v>
      </c>
      <c r="H377" s="2" t="s">
        <v>553</v>
      </c>
      <c r="I377" s="4">
        <v>1</v>
      </c>
      <c r="J377" s="5">
        <v>185000</v>
      </c>
      <c r="K377" s="5">
        <f>ROUND(IF(ISNUMBER(J377), I377*J377, I377),5)</f>
        <v>185000</v>
      </c>
    </row>
    <row r="378" spans="1:11" x14ac:dyDescent="0.3">
      <c r="A378" s="2" t="s">
        <v>11</v>
      </c>
      <c r="B378" s="3">
        <v>45896</v>
      </c>
      <c r="C378" s="2" t="s">
        <v>242</v>
      </c>
      <c r="D378" s="2" t="s">
        <v>423</v>
      </c>
      <c r="E378" s="2" t="s">
        <v>482</v>
      </c>
      <c r="F378" s="2" t="s">
        <v>540</v>
      </c>
      <c r="G378" s="2" t="s">
        <v>548</v>
      </c>
      <c r="H378" s="2" t="s">
        <v>553</v>
      </c>
      <c r="I378" s="4">
        <v>4</v>
      </c>
      <c r="J378" s="5">
        <v>118000</v>
      </c>
      <c r="K378" s="5">
        <f>ROUND(IF(ISNUMBER(J378), I378*J378, I378),5)</f>
        <v>472000</v>
      </c>
    </row>
    <row r="379" spans="1:11" x14ac:dyDescent="0.3">
      <c r="A379" s="2" t="s">
        <v>11</v>
      </c>
      <c r="B379" s="3">
        <v>45896</v>
      </c>
      <c r="C379" s="2" t="s">
        <v>242</v>
      </c>
      <c r="D379" s="2" t="s">
        <v>423</v>
      </c>
      <c r="E379" s="2" t="s">
        <v>441</v>
      </c>
      <c r="F379" s="2" t="s">
        <v>547</v>
      </c>
      <c r="G379" s="2" t="s">
        <v>548</v>
      </c>
      <c r="H379" s="2" t="s">
        <v>553</v>
      </c>
      <c r="I379" s="4"/>
      <c r="J379" s="5">
        <v>-13000</v>
      </c>
      <c r="K379" s="5">
        <v>-13000</v>
      </c>
    </row>
    <row r="380" spans="1:11" x14ac:dyDescent="0.3">
      <c r="A380" s="2" t="s">
        <v>11</v>
      </c>
      <c r="B380" s="3">
        <v>45896</v>
      </c>
      <c r="C380" s="2" t="s">
        <v>243</v>
      </c>
      <c r="D380" s="2" t="s">
        <v>424</v>
      </c>
      <c r="E380" s="2" t="s">
        <v>492</v>
      </c>
      <c r="F380" s="2" t="s">
        <v>542</v>
      </c>
      <c r="G380" s="2" t="s">
        <v>550</v>
      </c>
      <c r="H380" s="2" t="s">
        <v>554</v>
      </c>
      <c r="I380" s="4">
        <v>3</v>
      </c>
      <c r="J380" s="5">
        <v>3900</v>
      </c>
      <c r="K380" s="5">
        <f>ROUND(IF(ISNUMBER(J380), I380*J380, I380),5)</f>
        <v>11700</v>
      </c>
    </row>
    <row r="381" spans="1:11" x14ac:dyDescent="0.3">
      <c r="A381" s="2" t="s">
        <v>11</v>
      </c>
      <c r="B381" s="3">
        <v>45896</v>
      </c>
      <c r="C381" s="2" t="s">
        <v>244</v>
      </c>
      <c r="D381" s="2" t="s">
        <v>425</v>
      </c>
      <c r="E381" s="2" t="s">
        <v>492</v>
      </c>
      <c r="F381" s="2" t="s">
        <v>542</v>
      </c>
      <c r="G381" s="2" t="s">
        <v>550</v>
      </c>
      <c r="H381" s="2" t="s">
        <v>554</v>
      </c>
      <c r="I381" s="4">
        <v>5</v>
      </c>
      <c r="J381" s="5">
        <v>3970</v>
      </c>
      <c r="K381" s="5">
        <f>ROUND(IF(ISNUMBER(J381), I381*J381, I381),5)</f>
        <v>19850</v>
      </c>
    </row>
    <row r="382" spans="1:11" x14ac:dyDescent="0.3">
      <c r="A382" s="2" t="s">
        <v>11</v>
      </c>
      <c r="B382" s="3">
        <v>45896</v>
      </c>
      <c r="C382" s="2" t="s">
        <v>244</v>
      </c>
      <c r="D382" s="2" t="s">
        <v>425</v>
      </c>
      <c r="E382" s="2" t="s">
        <v>527</v>
      </c>
      <c r="F382" s="2" t="s">
        <v>542</v>
      </c>
      <c r="G382" s="2" t="s">
        <v>550</v>
      </c>
      <c r="H382" s="2" t="s">
        <v>554</v>
      </c>
      <c r="I382" s="4">
        <v>10</v>
      </c>
      <c r="J382" s="5">
        <v>6000</v>
      </c>
      <c r="K382" s="5">
        <f>ROUND(IF(ISNUMBER(J382), I382*J382, I382),5)</f>
        <v>60000</v>
      </c>
    </row>
    <row r="383" spans="1:11" x14ac:dyDescent="0.3">
      <c r="A383" s="2" t="s">
        <v>11</v>
      </c>
      <c r="B383" s="3">
        <v>45896</v>
      </c>
      <c r="C383" s="2" t="s">
        <v>244</v>
      </c>
      <c r="D383" s="2" t="s">
        <v>425</v>
      </c>
      <c r="E383" s="2" t="s">
        <v>479</v>
      </c>
      <c r="F383" s="2" t="s">
        <v>542</v>
      </c>
      <c r="G383" s="2" t="s">
        <v>550</v>
      </c>
      <c r="H383" s="2" t="s">
        <v>554</v>
      </c>
      <c r="I383" s="4">
        <v>1</v>
      </c>
      <c r="J383" s="5">
        <v>19260</v>
      </c>
      <c r="K383" s="5">
        <f>ROUND(IF(ISNUMBER(J383), I383*J383, I383),5)</f>
        <v>19260</v>
      </c>
    </row>
    <row r="384" spans="1:11" x14ac:dyDescent="0.3">
      <c r="A384" s="2" t="s">
        <v>11</v>
      </c>
      <c r="B384" s="3">
        <v>45896</v>
      </c>
      <c r="C384" s="2" t="s">
        <v>244</v>
      </c>
      <c r="D384" s="2" t="s">
        <v>425</v>
      </c>
      <c r="E384" s="2" t="s">
        <v>457</v>
      </c>
      <c r="F384" s="2" t="s">
        <v>542</v>
      </c>
      <c r="G384" s="2" t="s">
        <v>550</v>
      </c>
      <c r="H384" s="2" t="s">
        <v>554</v>
      </c>
      <c r="I384" s="4">
        <v>1</v>
      </c>
      <c r="J384" s="5">
        <v>26500</v>
      </c>
      <c r="K384" s="5">
        <f>ROUND(IF(ISNUMBER(J384), I384*J384, I384),5)</f>
        <v>26500</v>
      </c>
    </row>
    <row r="385" spans="1:11" x14ac:dyDescent="0.3">
      <c r="A385" s="2" t="s">
        <v>11</v>
      </c>
      <c r="B385" s="3">
        <v>45896</v>
      </c>
      <c r="C385" s="2" t="s">
        <v>244</v>
      </c>
      <c r="D385" s="2" t="s">
        <v>425</v>
      </c>
      <c r="E385" s="2" t="s">
        <v>510</v>
      </c>
      <c r="F385" s="2" t="s">
        <v>542</v>
      </c>
      <c r="G385" s="2" t="s">
        <v>550</v>
      </c>
      <c r="H385" s="2" t="s">
        <v>554</v>
      </c>
      <c r="I385" s="4">
        <v>1</v>
      </c>
      <c r="J385" s="5">
        <v>26550</v>
      </c>
      <c r="K385" s="5">
        <f>ROUND(IF(ISNUMBER(J385), I385*J385, I385),5)</f>
        <v>26550</v>
      </c>
    </row>
    <row r="386" spans="1:11" x14ac:dyDescent="0.3">
      <c r="A386" s="2" t="s">
        <v>11</v>
      </c>
      <c r="B386" s="3">
        <v>45896</v>
      </c>
      <c r="C386" s="2" t="s">
        <v>244</v>
      </c>
      <c r="D386" s="2" t="s">
        <v>425</v>
      </c>
      <c r="E386" s="2" t="s">
        <v>444</v>
      </c>
      <c r="F386" s="2" t="s">
        <v>519</v>
      </c>
      <c r="G386" s="2" t="s">
        <v>550</v>
      </c>
      <c r="H386" s="2" t="s">
        <v>554</v>
      </c>
      <c r="I386" s="4">
        <v>1</v>
      </c>
      <c r="J386" s="5">
        <v>153000</v>
      </c>
      <c r="K386" s="5">
        <f>ROUND(IF(ISNUMBER(J386), I386*J386, I386),5)</f>
        <v>153000</v>
      </c>
    </row>
    <row r="387" spans="1:11" x14ac:dyDescent="0.3">
      <c r="A387" s="2" t="s">
        <v>11</v>
      </c>
      <c r="B387" s="3">
        <v>45897</v>
      </c>
      <c r="C387" s="2" t="s">
        <v>245</v>
      </c>
      <c r="D387" s="2" t="s">
        <v>330</v>
      </c>
      <c r="E387" s="2" t="s">
        <v>528</v>
      </c>
      <c r="F387" s="2" t="s">
        <v>540</v>
      </c>
      <c r="G387" s="2" t="s">
        <v>549</v>
      </c>
      <c r="H387" s="2" t="s">
        <v>553</v>
      </c>
      <c r="I387" s="4">
        <v>1</v>
      </c>
      <c r="J387" s="5">
        <v>52900</v>
      </c>
      <c r="K387" s="5">
        <f>ROUND(IF(ISNUMBER(J387), I387*J387, I387),5)</f>
        <v>52900</v>
      </c>
    </row>
    <row r="388" spans="1:11" x14ac:dyDescent="0.3">
      <c r="A388" s="2" t="s">
        <v>11</v>
      </c>
      <c r="B388" s="3">
        <v>45897</v>
      </c>
      <c r="C388" s="2" t="s">
        <v>246</v>
      </c>
      <c r="D388" s="2" t="s">
        <v>425</v>
      </c>
      <c r="E388" s="2" t="s">
        <v>509</v>
      </c>
      <c r="F388" s="2" t="s">
        <v>519</v>
      </c>
      <c r="G388" s="2" t="s">
        <v>550</v>
      </c>
      <c r="H388" s="2" t="s">
        <v>554</v>
      </c>
      <c r="I388" s="4">
        <v>1</v>
      </c>
      <c r="J388" s="5">
        <v>133340</v>
      </c>
      <c r="K388" s="5">
        <f>ROUND(IF(ISNUMBER(J388), I388*J388, I388),5)</f>
        <v>133340</v>
      </c>
    </row>
    <row r="389" spans="1:11" x14ac:dyDescent="0.3">
      <c r="A389" s="2" t="s">
        <v>11</v>
      </c>
      <c r="B389" s="3">
        <v>45898</v>
      </c>
      <c r="C389" s="2" t="s">
        <v>247</v>
      </c>
      <c r="D389" s="2" t="s">
        <v>352</v>
      </c>
      <c r="E389" s="2" t="s">
        <v>513</v>
      </c>
      <c r="F389" s="2" t="s">
        <v>546</v>
      </c>
      <c r="G389" s="2" t="s">
        <v>549</v>
      </c>
      <c r="H389" s="2" t="s">
        <v>553</v>
      </c>
      <c r="I389" s="4">
        <v>2</v>
      </c>
      <c r="J389" s="5">
        <v>25000</v>
      </c>
      <c r="K389" s="5">
        <f>ROUND(IF(ISNUMBER(J389), I389*J389, I389),5)</f>
        <v>50000</v>
      </c>
    </row>
    <row r="390" spans="1:11" x14ac:dyDescent="0.3">
      <c r="A390" s="2" t="s">
        <v>11</v>
      </c>
      <c r="B390" s="3">
        <v>45898</v>
      </c>
      <c r="C390" s="2" t="s">
        <v>248</v>
      </c>
      <c r="D390" s="2" t="s">
        <v>338</v>
      </c>
      <c r="E390" s="2" t="s">
        <v>452</v>
      </c>
      <c r="F390" s="2" t="s">
        <v>542</v>
      </c>
      <c r="G390" s="2" t="s">
        <v>550</v>
      </c>
      <c r="H390" s="2" t="s">
        <v>554</v>
      </c>
      <c r="I390" s="4">
        <v>1</v>
      </c>
      <c r="J390" s="5">
        <v>10500</v>
      </c>
      <c r="K390" s="5">
        <f>ROUND(IF(ISNUMBER(J390), I390*J390, I390),5)</f>
        <v>10500</v>
      </c>
    </row>
    <row r="391" spans="1:11" x14ac:dyDescent="0.3">
      <c r="A391" s="2" t="s">
        <v>11</v>
      </c>
      <c r="B391" s="3">
        <v>45899</v>
      </c>
      <c r="C391" s="2" t="s">
        <v>249</v>
      </c>
      <c r="D391" s="2" t="s">
        <v>374</v>
      </c>
      <c r="E391" s="2" t="s">
        <v>509</v>
      </c>
      <c r="F391" s="2" t="s">
        <v>519</v>
      </c>
      <c r="G391" s="2" t="s">
        <v>551</v>
      </c>
      <c r="H391" s="2" t="s">
        <v>554</v>
      </c>
      <c r="I391" s="4">
        <v>1</v>
      </c>
      <c r="J391" s="5">
        <v>123074</v>
      </c>
      <c r="K391" s="5">
        <f>ROUND(IF(ISNUMBER(J391), I391*J391, I391),5)</f>
        <v>123074</v>
      </c>
    </row>
    <row r="392" spans="1:11" x14ac:dyDescent="0.3">
      <c r="A392" s="2" t="s">
        <v>11</v>
      </c>
      <c r="B392" s="3">
        <v>45899</v>
      </c>
      <c r="C392" s="2" t="s">
        <v>249</v>
      </c>
      <c r="D392" s="2" t="s">
        <v>374</v>
      </c>
      <c r="E392" s="2" t="s">
        <v>442</v>
      </c>
      <c r="F392" s="2" t="s">
        <v>540</v>
      </c>
      <c r="G392" s="2" t="s">
        <v>551</v>
      </c>
      <c r="H392" s="2" t="s">
        <v>554</v>
      </c>
      <c r="I392" s="4">
        <v>2</v>
      </c>
      <c r="J392" s="5">
        <v>44368</v>
      </c>
      <c r="K392" s="5">
        <f>ROUND(IF(ISNUMBER(J392), I392*J392, I392),5)</f>
        <v>88736</v>
      </c>
    </row>
    <row r="393" spans="1:11" x14ac:dyDescent="0.3">
      <c r="A393" s="2" t="s">
        <v>11</v>
      </c>
      <c r="B393" s="3">
        <v>45901</v>
      </c>
      <c r="C393" s="2" t="s">
        <v>250</v>
      </c>
      <c r="D393" s="2" t="s">
        <v>324</v>
      </c>
      <c r="E393" s="2" t="s">
        <v>517</v>
      </c>
      <c r="F393" s="2" t="s">
        <v>519</v>
      </c>
      <c r="G393" s="2" t="s">
        <v>550</v>
      </c>
      <c r="H393" s="2" t="s">
        <v>553</v>
      </c>
      <c r="I393" s="4">
        <v>1</v>
      </c>
      <c r="J393" s="5">
        <v>169000</v>
      </c>
      <c r="K393" s="5">
        <f>ROUND(IF(ISNUMBER(J393), I393*J393, I393),5)</f>
        <v>169000</v>
      </c>
    </row>
    <row r="394" spans="1:11" x14ac:dyDescent="0.3">
      <c r="A394" s="2" t="s">
        <v>11</v>
      </c>
      <c r="B394" s="3">
        <v>45902</v>
      </c>
      <c r="C394" s="2" t="s">
        <v>251</v>
      </c>
      <c r="D394" s="2" t="s">
        <v>313</v>
      </c>
      <c r="E394" s="2" t="s">
        <v>529</v>
      </c>
      <c r="F394" s="2" t="s">
        <v>542</v>
      </c>
      <c r="G394" s="2" t="s">
        <v>550</v>
      </c>
      <c r="H394" s="2" t="s">
        <v>553</v>
      </c>
      <c r="I394" s="4">
        <v>1</v>
      </c>
      <c r="J394" s="5">
        <v>135000</v>
      </c>
      <c r="K394" s="5">
        <f>ROUND(IF(ISNUMBER(J394), I394*J394, I394),5)</f>
        <v>135000</v>
      </c>
    </row>
    <row r="395" spans="1:11" x14ac:dyDescent="0.3">
      <c r="A395" s="2" t="s">
        <v>11</v>
      </c>
      <c r="B395" s="3">
        <v>45903</v>
      </c>
      <c r="C395" s="2" t="s">
        <v>252</v>
      </c>
      <c r="D395" s="2" t="s">
        <v>425</v>
      </c>
      <c r="E395" s="2" t="s">
        <v>510</v>
      </c>
      <c r="F395" s="2" t="s">
        <v>542</v>
      </c>
      <c r="G395" s="2" t="s">
        <v>550</v>
      </c>
      <c r="H395" s="2" t="s">
        <v>554</v>
      </c>
      <c r="I395" s="4">
        <v>2</v>
      </c>
      <c r="J395" s="5">
        <v>26550</v>
      </c>
      <c r="K395" s="5">
        <f>ROUND(IF(ISNUMBER(J395), I395*J395, I395),5)</f>
        <v>53100</v>
      </c>
    </row>
    <row r="396" spans="1:11" x14ac:dyDescent="0.3">
      <c r="A396" s="2" t="s">
        <v>11</v>
      </c>
      <c r="B396" s="3">
        <v>45903</v>
      </c>
      <c r="C396" s="2" t="s">
        <v>253</v>
      </c>
      <c r="D396" s="2" t="s">
        <v>338</v>
      </c>
      <c r="E396" s="2" t="s">
        <v>452</v>
      </c>
      <c r="F396" s="2" t="s">
        <v>542</v>
      </c>
      <c r="G396" s="2" t="s">
        <v>550</v>
      </c>
      <c r="H396" s="2" t="s">
        <v>554</v>
      </c>
      <c r="I396" s="4">
        <v>1</v>
      </c>
      <c r="J396" s="5">
        <v>10500</v>
      </c>
      <c r="K396" s="5">
        <f>ROUND(IF(ISNUMBER(J396), I396*J396, I396),5)</f>
        <v>10500</v>
      </c>
    </row>
    <row r="397" spans="1:11" x14ac:dyDescent="0.3">
      <c r="A397" s="2" t="s">
        <v>11</v>
      </c>
      <c r="B397" s="3">
        <v>45903</v>
      </c>
      <c r="C397" s="2" t="s">
        <v>254</v>
      </c>
      <c r="D397" s="2" t="s">
        <v>313</v>
      </c>
      <c r="E397" s="2" t="s">
        <v>504</v>
      </c>
      <c r="F397" s="2" t="s">
        <v>542</v>
      </c>
      <c r="G397" s="2" t="s">
        <v>550</v>
      </c>
      <c r="H397" s="2" t="s">
        <v>553</v>
      </c>
      <c r="I397" s="4">
        <v>1</v>
      </c>
      <c r="J397" s="5">
        <v>16000</v>
      </c>
      <c r="K397" s="5">
        <f>ROUND(IF(ISNUMBER(J397), I397*J397, I397),5)</f>
        <v>16000</v>
      </c>
    </row>
    <row r="398" spans="1:11" x14ac:dyDescent="0.3">
      <c r="A398" s="2" t="s">
        <v>11</v>
      </c>
      <c r="B398" s="3">
        <v>45903</v>
      </c>
      <c r="C398" s="2" t="s">
        <v>254</v>
      </c>
      <c r="D398" s="2" t="s">
        <v>313</v>
      </c>
      <c r="E398" s="2" t="s">
        <v>479</v>
      </c>
      <c r="F398" s="2" t="s">
        <v>542</v>
      </c>
      <c r="G398" s="2" t="s">
        <v>550</v>
      </c>
      <c r="H398" s="2" t="s">
        <v>553</v>
      </c>
      <c r="I398" s="4">
        <v>2</v>
      </c>
      <c r="J398" s="5">
        <v>16450</v>
      </c>
      <c r="K398" s="5">
        <f>ROUND(IF(ISNUMBER(J398), I398*J398, I398),5)</f>
        <v>32900</v>
      </c>
    </row>
    <row r="399" spans="1:11" x14ac:dyDescent="0.3">
      <c r="A399" s="2" t="s">
        <v>11</v>
      </c>
      <c r="B399" s="3">
        <v>45904</v>
      </c>
      <c r="C399" s="2" t="s">
        <v>255</v>
      </c>
      <c r="D399" s="2" t="s">
        <v>349</v>
      </c>
      <c r="E399" s="2" t="s">
        <v>488</v>
      </c>
      <c r="F399" s="2" t="s">
        <v>519</v>
      </c>
      <c r="G399" s="2" t="s">
        <v>548</v>
      </c>
      <c r="H399" s="2" t="s">
        <v>553</v>
      </c>
      <c r="I399" s="4">
        <v>1</v>
      </c>
      <c r="J399" s="5">
        <v>92000</v>
      </c>
      <c r="K399" s="5">
        <f>ROUND(IF(ISNUMBER(J399), I399*J399, I399),5)</f>
        <v>92000</v>
      </c>
    </row>
    <row r="400" spans="1:11" x14ac:dyDescent="0.3">
      <c r="A400" s="2" t="s">
        <v>11</v>
      </c>
      <c r="B400" s="3">
        <v>45904</v>
      </c>
      <c r="C400" s="2" t="s">
        <v>255</v>
      </c>
      <c r="D400" s="2" t="s">
        <v>349</v>
      </c>
      <c r="E400" s="2" t="s">
        <v>442</v>
      </c>
      <c r="F400" s="2" t="s">
        <v>540</v>
      </c>
      <c r="G400" s="2" t="s">
        <v>548</v>
      </c>
      <c r="H400" s="2" t="s">
        <v>553</v>
      </c>
      <c r="I400" s="4">
        <v>2</v>
      </c>
      <c r="J400" s="5">
        <v>41000</v>
      </c>
      <c r="K400" s="5">
        <f>ROUND(IF(ISNUMBER(J400), I400*J400, I400),5)</f>
        <v>82000</v>
      </c>
    </row>
    <row r="401" spans="1:11" x14ac:dyDescent="0.3">
      <c r="A401" s="2" t="s">
        <v>11</v>
      </c>
      <c r="B401" s="3">
        <v>45904</v>
      </c>
      <c r="C401" s="2" t="s">
        <v>256</v>
      </c>
      <c r="D401" s="2" t="s">
        <v>340</v>
      </c>
      <c r="E401" s="2" t="s">
        <v>488</v>
      </c>
      <c r="F401" s="2" t="s">
        <v>519</v>
      </c>
      <c r="G401" s="2" t="s">
        <v>548</v>
      </c>
      <c r="H401" s="2" t="s">
        <v>553</v>
      </c>
      <c r="I401" s="4">
        <v>1</v>
      </c>
      <c r="J401" s="5">
        <v>94000</v>
      </c>
      <c r="K401" s="5">
        <f>ROUND(IF(ISNUMBER(J401), I401*J401, I401),5)</f>
        <v>94000</v>
      </c>
    </row>
    <row r="402" spans="1:11" x14ac:dyDescent="0.3">
      <c r="A402" s="2" t="s">
        <v>11</v>
      </c>
      <c r="B402" s="3">
        <v>45904</v>
      </c>
      <c r="C402" s="2" t="s">
        <v>256</v>
      </c>
      <c r="D402" s="2" t="s">
        <v>340</v>
      </c>
      <c r="E402" s="2" t="s">
        <v>453</v>
      </c>
      <c r="F402" s="2" t="s">
        <v>540</v>
      </c>
      <c r="G402" s="2" t="s">
        <v>548</v>
      </c>
      <c r="H402" s="2" t="s">
        <v>553</v>
      </c>
      <c r="I402" s="4">
        <v>2</v>
      </c>
      <c r="J402" s="5">
        <v>82000</v>
      </c>
      <c r="K402" s="5">
        <f>ROUND(IF(ISNUMBER(J402), I402*J402, I402),5)</f>
        <v>164000</v>
      </c>
    </row>
    <row r="403" spans="1:11" x14ac:dyDescent="0.3">
      <c r="A403" s="2" t="s">
        <v>11</v>
      </c>
      <c r="B403" s="3">
        <v>45904</v>
      </c>
      <c r="C403" s="2" t="s">
        <v>256</v>
      </c>
      <c r="D403" s="2" t="s">
        <v>340</v>
      </c>
      <c r="E403" s="2" t="s">
        <v>441</v>
      </c>
      <c r="F403" s="2" t="s">
        <v>547</v>
      </c>
      <c r="G403" s="2" t="s">
        <v>548</v>
      </c>
      <c r="H403" s="2" t="s">
        <v>553</v>
      </c>
      <c r="I403" s="4"/>
      <c r="J403" s="5">
        <v>-3000</v>
      </c>
      <c r="K403" s="5">
        <v>-3000</v>
      </c>
    </row>
    <row r="404" spans="1:11" x14ac:dyDescent="0.3">
      <c r="A404" s="2" t="s">
        <v>11</v>
      </c>
      <c r="B404" s="3">
        <v>45904</v>
      </c>
      <c r="C404" s="2" t="s">
        <v>257</v>
      </c>
      <c r="D404" s="2" t="s">
        <v>426</v>
      </c>
      <c r="E404" s="2" t="s">
        <v>527</v>
      </c>
      <c r="F404" s="2" t="s">
        <v>542</v>
      </c>
      <c r="G404" s="2" t="s">
        <v>549</v>
      </c>
      <c r="H404" s="2" t="s">
        <v>553</v>
      </c>
      <c r="I404" s="4">
        <v>2</v>
      </c>
      <c r="J404" s="5">
        <v>5500</v>
      </c>
      <c r="K404" s="5">
        <f>ROUND(IF(ISNUMBER(J404), I404*J404, I404),5)</f>
        <v>11000</v>
      </c>
    </row>
    <row r="405" spans="1:11" x14ac:dyDescent="0.3">
      <c r="A405" s="2" t="s">
        <v>11</v>
      </c>
      <c r="B405" s="3">
        <v>45904</v>
      </c>
      <c r="C405" s="2" t="s">
        <v>257</v>
      </c>
      <c r="D405" s="2" t="s">
        <v>426</v>
      </c>
      <c r="E405" s="2" t="s">
        <v>510</v>
      </c>
      <c r="F405" s="2" t="s">
        <v>542</v>
      </c>
      <c r="G405" s="2" t="s">
        <v>549</v>
      </c>
      <c r="H405" s="2" t="s">
        <v>553</v>
      </c>
      <c r="I405" s="4">
        <v>1</v>
      </c>
      <c r="J405" s="5">
        <v>23000</v>
      </c>
      <c r="K405" s="5">
        <f>ROUND(IF(ISNUMBER(J405), I405*J405, I405),5)</f>
        <v>23000</v>
      </c>
    </row>
    <row r="406" spans="1:11" x14ac:dyDescent="0.3">
      <c r="A406" s="2" t="s">
        <v>11</v>
      </c>
      <c r="B406" s="3">
        <v>45908</v>
      </c>
      <c r="C406" s="2" t="s">
        <v>258</v>
      </c>
      <c r="D406" s="2" t="s">
        <v>343</v>
      </c>
      <c r="E406" s="2" t="s">
        <v>486</v>
      </c>
      <c r="F406" s="2" t="s">
        <v>542</v>
      </c>
      <c r="G406" s="2" t="s">
        <v>551</v>
      </c>
      <c r="H406" s="2" t="s">
        <v>553</v>
      </c>
      <c r="I406" s="4">
        <v>3</v>
      </c>
      <c r="J406" s="5">
        <v>62000</v>
      </c>
      <c r="K406" s="5">
        <f>ROUND(IF(ISNUMBER(J406), I406*J406, I406),5)</f>
        <v>186000</v>
      </c>
    </row>
    <row r="407" spans="1:11" x14ac:dyDescent="0.3">
      <c r="A407" s="2" t="s">
        <v>11</v>
      </c>
      <c r="B407" s="3">
        <v>45908</v>
      </c>
      <c r="C407" s="2" t="s">
        <v>259</v>
      </c>
      <c r="D407" s="2" t="s">
        <v>427</v>
      </c>
      <c r="E407" s="2" t="s">
        <v>490</v>
      </c>
      <c r="F407" s="2" t="s">
        <v>542</v>
      </c>
      <c r="G407" s="2" t="s">
        <v>551</v>
      </c>
      <c r="H407" s="2" t="s">
        <v>553</v>
      </c>
      <c r="I407" s="4">
        <v>3</v>
      </c>
      <c r="J407" s="5">
        <v>5500</v>
      </c>
      <c r="K407" s="5">
        <f>ROUND(IF(ISNUMBER(J407), I407*J407, I407),5)</f>
        <v>16500</v>
      </c>
    </row>
    <row r="408" spans="1:11" x14ac:dyDescent="0.3">
      <c r="A408" s="2" t="s">
        <v>11</v>
      </c>
      <c r="B408" s="3">
        <v>45908</v>
      </c>
      <c r="C408" s="2" t="s">
        <v>260</v>
      </c>
      <c r="D408" s="2" t="s">
        <v>325</v>
      </c>
      <c r="E408" s="2" t="s">
        <v>530</v>
      </c>
      <c r="F408" s="2" t="s">
        <v>543</v>
      </c>
      <c r="G408" s="2" t="s">
        <v>548</v>
      </c>
      <c r="H408" s="2" t="s">
        <v>553</v>
      </c>
      <c r="I408" s="4">
        <v>2</v>
      </c>
      <c r="J408" s="5">
        <v>31000</v>
      </c>
      <c r="K408" s="5">
        <f>ROUND(IF(ISNUMBER(J408), I408*J408, I408),5)</f>
        <v>62000</v>
      </c>
    </row>
    <row r="409" spans="1:11" x14ac:dyDescent="0.3">
      <c r="A409" s="2" t="s">
        <v>11</v>
      </c>
      <c r="B409" s="3">
        <v>45909</v>
      </c>
      <c r="C409" s="2" t="s">
        <v>261</v>
      </c>
      <c r="D409" s="2" t="s">
        <v>329</v>
      </c>
      <c r="E409" s="2" t="s">
        <v>482</v>
      </c>
      <c r="F409" s="2" t="s">
        <v>540</v>
      </c>
      <c r="G409" s="2" t="s">
        <v>548</v>
      </c>
      <c r="H409" s="2" t="s">
        <v>553</v>
      </c>
      <c r="I409" s="4">
        <v>3</v>
      </c>
      <c r="J409" s="5">
        <v>107000</v>
      </c>
      <c r="K409" s="5">
        <f>ROUND(IF(ISNUMBER(J409), I409*J409, I409),5)</f>
        <v>321000</v>
      </c>
    </row>
    <row r="410" spans="1:11" x14ac:dyDescent="0.3">
      <c r="A410" s="2" t="s">
        <v>12</v>
      </c>
      <c r="B410" s="3">
        <v>45910</v>
      </c>
      <c r="C410" s="2" t="s">
        <v>262</v>
      </c>
      <c r="D410" s="2" t="s">
        <v>372</v>
      </c>
      <c r="E410" s="2" t="s">
        <v>506</v>
      </c>
      <c r="F410" s="2" t="s">
        <v>519</v>
      </c>
      <c r="G410" s="2"/>
      <c r="H410" s="2" t="s">
        <v>553</v>
      </c>
      <c r="I410" s="4">
        <v>-1</v>
      </c>
      <c r="J410" s="5">
        <v>417400</v>
      </c>
      <c r="K410" s="5">
        <f>ROUND(IF(ISNUMBER(J410), I410*J410, I410),5)</f>
        <v>-417400</v>
      </c>
    </row>
    <row r="411" spans="1:11" x14ac:dyDescent="0.3">
      <c r="A411" s="2" t="s">
        <v>11</v>
      </c>
      <c r="B411" s="3">
        <v>45910</v>
      </c>
      <c r="C411" s="2" t="s">
        <v>263</v>
      </c>
      <c r="D411" s="2" t="s">
        <v>390</v>
      </c>
      <c r="E411" s="2" t="s">
        <v>513</v>
      </c>
      <c r="F411" s="2" t="s">
        <v>546</v>
      </c>
      <c r="G411" s="2" t="s">
        <v>548</v>
      </c>
      <c r="H411" s="2" t="s">
        <v>553</v>
      </c>
      <c r="I411" s="4">
        <v>1</v>
      </c>
      <c r="J411" s="5">
        <v>15000</v>
      </c>
      <c r="K411" s="5">
        <f>ROUND(IF(ISNUMBER(J411), I411*J411, I411),5)</f>
        <v>15000</v>
      </c>
    </row>
    <row r="412" spans="1:11" x14ac:dyDescent="0.3">
      <c r="A412" s="2" t="s">
        <v>11</v>
      </c>
      <c r="B412" s="3">
        <v>45910</v>
      </c>
      <c r="C412" s="2" t="s">
        <v>264</v>
      </c>
      <c r="D412" s="2" t="s">
        <v>428</v>
      </c>
      <c r="E412" s="2" t="s">
        <v>442</v>
      </c>
      <c r="F412" s="2" t="s">
        <v>540</v>
      </c>
      <c r="G412" s="2" t="s">
        <v>548</v>
      </c>
      <c r="H412" s="2" t="s">
        <v>553</v>
      </c>
      <c r="I412" s="4">
        <v>1</v>
      </c>
      <c r="J412" s="5">
        <v>47000</v>
      </c>
      <c r="K412" s="5">
        <f>ROUND(IF(ISNUMBER(J412), I412*J412, I412),5)</f>
        <v>47000</v>
      </c>
    </row>
    <row r="413" spans="1:11" x14ac:dyDescent="0.3">
      <c r="A413" s="2" t="s">
        <v>11</v>
      </c>
      <c r="B413" s="3">
        <v>45910</v>
      </c>
      <c r="C413" s="2" t="s">
        <v>264</v>
      </c>
      <c r="D413" s="2" t="s">
        <v>428</v>
      </c>
      <c r="E413" s="2" t="s">
        <v>472</v>
      </c>
      <c r="F413" s="2" t="s">
        <v>544</v>
      </c>
      <c r="G413" s="2" t="s">
        <v>548</v>
      </c>
      <c r="H413" s="2" t="s">
        <v>553</v>
      </c>
      <c r="I413" s="4">
        <v>1</v>
      </c>
      <c r="J413" s="5">
        <v>10000</v>
      </c>
      <c r="K413" s="5">
        <f>ROUND(IF(ISNUMBER(J413), I413*J413, I413),5)</f>
        <v>10000</v>
      </c>
    </row>
    <row r="414" spans="1:11" x14ac:dyDescent="0.3">
      <c r="A414" s="2" t="s">
        <v>11</v>
      </c>
      <c r="B414" s="3">
        <v>45911</v>
      </c>
      <c r="C414" s="2" t="s">
        <v>265</v>
      </c>
      <c r="D414" s="2" t="s">
        <v>372</v>
      </c>
      <c r="E414" s="2" t="s">
        <v>481</v>
      </c>
      <c r="F414" s="2" t="s">
        <v>519</v>
      </c>
      <c r="G414" s="2" t="s">
        <v>548</v>
      </c>
      <c r="H414" s="2" t="s">
        <v>553</v>
      </c>
      <c r="I414" s="4">
        <v>1</v>
      </c>
      <c r="J414" s="5">
        <v>533587.5</v>
      </c>
      <c r="K414" s="5">
        <f>ROUND(IF(ISNUMBER(J414), I414*J414, I414),5)</f>
        <v>533587.5</v>
      </c>
    </row>
    <row r="415" spans="1:11" x14ac:dyDescent="0.3">
      <c r="A415" s="2" t="s">
        <v>11</v>
      </c>
      <c r="B415" s="3">
        <v>45911</v>
      </c>
      <c r="C415" s="2" t="s">
        <v>266</v>
      </c>
      <c r="D415" s="2" t="s">
        <v>429</v>
      </c>
      <c r="E415" s="2" t="s">
        <v>517</v>
      </c>
      <c r="F415" s="2" t="s">
        <v>519</v>
      </c>
      <c r="G415" s="2" t="s">
        <v>548</v>
      </c>
      <c r="H415" s="2" t="s">
        <v>553</v>
      </c>
      <c r="I415" s="4">
        <v>1</v>
      </c>
      <c r="J415" s="5">
        <v>165000</v>
      </c>
      <c r="K415" s="5">
        <f>ROUND(IF(ISNUMBER(J415), I415*J415, I415),5)</f>
        <v>165000</v>
      </c>
    </row>
    <row r="416" spans="1:11" x14ac:dyDescent="0.3">
      <c r="A416" s="2" t="s">
        <v>11</v>
      </c>
      <c r="B416" s="3">
        <v>45911</v>
      </c>
      <c r="C416" s="2" t="s">
        <v>266</v>
      </c>
      <c r="D416" s="2" t="s">
        <v>429</v>
      </c>
      <c r="E416" s="2" t="s">
        <v>482</v>
      </c>
      <c r="F416" s="2" t="s">
        <v>540</v>
      </c>
      <c r="G416" s="2" t="s">
        <v>548</v>
      </c>
      <c r="H416" s="2" t="s">
        <v>553</v>
      </c>
      <c r="I416" s="4">
        <v>2</v>
      </c>
      <c r="J416" s="5">
        <v>111000</v>
      </c>
      <c r="K416" s="5">
        <f>ROUND(IF(ISNUMBER(J416), I416*J416, I416),5)</f>
        <v>222000</v>
      </c>
    </row>
    <row r="417" spans="1:11" x14ac:dyDescent="0.3">
      <c r="A417" s="2" t="s">
        <v>11</v>
      </c>
      <c r="B417" s="3">
        <v>45911</v>
      </c>
      <c r="C417" s="2" t="s">
        <v>267</v>
      </c>
      <c r="D417" s="2" t="s">
        <v>404</v>
      </c>
      <c r="E417" s="2" t="s">
        <v>509</v>
      </c>
      <c r="F417" s="2" t="s">
        <v>519</v>
      </c>
      <c r="G417" s="2" t="s">
        <v>548</v>
      </c>
      <c r="H417" s="2" t="s">
        <v>553</v>
      </c>
      <c r="I417" s="4">
        <v>1</v>
      </c>
      <c r="J417" s="5">
        <v>113000</v>
      </c>
      <c r="K417" s="5">
        <f>ROUND(IF(ISNUMBER(J417), I417*J417, I417),5)</f>
        <v>113000</v>
      </c>
    </row>
    <row r="418" spans="1:11" x14ac:dyDescent="0.3">
      <c r="A418" s="2" t="s">
        <v>11</v>
      </c>
      <c r="B418" s="3">
        <v>45911</v>
      </c>
      <c r="C418" s="2" t="s">
        <v>267</v>
      </c>
      <c r="D418" s="2" t="s">
        <v>404</v>
      </c>
      <c r="E418" s="2" t="s">
        <v>453</v>
      </c>
      <c r="F418" s="2" t="s">
        <v>540</v>
      </c>
      <c r="G418" s="2" t="s">
        <v>548</v>
      </c>
      <c r="H418" s="2" t="s">
        <v>553</v>
      </c>
      <c r="I418" s="4">
        <v>2</v>
      </c>
      <c r="J418" s="5">
        <v>83000</v>
      </c>
      <c r="K418" s="5">
        <f>ROUND(IF(ISNUMBER(J418), I418*J418, I418),5)</f>
        <v>166000</v>
      </c>
    </row>
    <row r="419" spans="1:11" x14ac:dyDescent="0.3">
      <c r="A419" s="2" t="s">
        <v>11</v>
      </c>
      <c r="B419" s="3">
        <v>45912</v>
      </c>
      <c r="C419" s="2" t="s">
        <v>268</v>
      </c>
      <c r="D419" s="2" t="s">
        <v>351</v>
      </c>
      <c r="E419" s="2" t="s">
        <v>477</v>
      </c>
      <c r="F419" s="2" t="s">
        <v>540</v>
      </c>
      <c r="G419" s="2" t="s">
        <v>551</v>
      </c>
      <c r="H419" s="2" t="s">
        <v>553</v>
      </c>
      <c r="I419" s="4">
        <v>6</v>
      </c>
      <c r="J419" s="5">
        <v>176500</v>
      </c>
      <c r="K419" s="5">
        <f>ROUND(IF(ISNUMBER(J419), I419*J419, I419),5)</f>
        <v>1059000</v>
      </c>
    </row>
    <row r="420" spans="1:11" x14ac:dyDescent="0.3">
      <c r="A420" s="2" t="s">
        <v>11</v>
      </c>
      <c r="B420" s="3">
        <v>45912</v>
      </c>
      <c r="C420" s="2" t="s">
        <v>269</v>
      </c>
      <c r="D420" s="2" t="s">
        <v>338</v>
      </c>
      <c r="E420" s="2" t="s">
        <v>452</v>
      </c>
      <c r="F420" s="2" t="s">
        <v>542</v>
      </c>
      <c r="G420" s="2" t="s">
        <v>550</v>
      </c>
      <c r="H420" s="2" t="s">
        <v>554</v>
      </c>
      <c r="I420" s="4">
        <v>3</v>
      </c>
      <c r="J420" s="5">
        <v>10500</v>
      </c>
      <c r="K420" s="5">
        <f>ROUND(IF(ISNUMBER(J420), I420*J420, I420),5)</f>
        <v>31500</v>
      </c>
    </row>
    <row r="421" spans="1:11" x14ac:dyDescent="0.3">
      <c r="A421" s="2" t="s">
        <v>11</v>
      </c>
      <c r="B421" s="3">
        <v>45912</v>
      </c>
      <c r="C421" s="2" t="s">
        <v>270</v>
      </c>
      <c r="D421" s="2" t="s">
        <v>430</v>
      </c>
      <c r="E421" s="2" t="s">
        <v>492</v>
      </c>
      <c r="F421" s="2" t="s">
        <v>542</v>
      </c>
      <c r="G421" s="2" t="s">
        <v>550</v>
      </c>
      <c r="H421" s="2" t="s">
        <v>554</v>
      </c>
      <c r="I421" s="4">
        <v>2</v>
      </c>
      <c r="J421" s="5">
        <v>3900</v>
      </c>
      <c r="K421" s="5">
        <f>ROUND(IF(ISNUMBER(J421), I421*J421, I421),5)</f>
        <v>7800</v>
      </c>
    </row>
    <row r="422" spans="1:11" x14ac:dyDescent="0.3">
      <c r="A422" s="2" t="s">
        <v>11</v>
      </c>
      <c r="B422" s="3">
        <v>45912</v>
      </c>
      <c r="C422" s="2" t="s">
        <v>270</v>
      </c>
      <c r="D422" s="2" t="s">
        <v>430</v>
      </c>
      <c r="E422" s="2" t="s">
        <v>531</v>
      </c>
      <c r="F422" s="2" t="s">
        <v>542</v>
      </c>
      <c r="G422" s="2" t="s">
        <v>550</v>
      </c>
      <c r="H422" s="2" t="s">
        <v>554</v>
      </c>
      <c r="I422" s="4">
        <v>1</v>
      </c>
      <c r="J422" s="5">
        <v>12950</v>
      </c>
      <c r="K422" s="5">
        <f>ROUND(IF(ISNUMBER(J422), I422*J422, I422),5)</f>
        <v>12950</v>
      </c>
    </row>
    <row r="423" spans="1:11" x14ac:dyDescent="0.3">
      <c r="A423" s="2" t="s">
        <v>11</v>
      </c>
      <c r="B423" s="3">
        <v>45912</v>
      </c>
      <c r="C423" s="2" t="s">
        <v>270</v>
      </c>
      <c r="D423" s="2" t="s">
        <v>430</v>
      </c>
      <c r="E423" s="2" t="s">
        <v>493</v>
      </c>
      <c r="F423" s="2" t="s">
        <v>542</v>
      </c>
      <c r="G423" s="2" t="s">
        <v>550</v>
      </c>
      <c r="H423" s="2" t="s">
        <v>554</v>
      </c>
      <c r="I423" s="4">
        <v>1</v>
      </c>
      <c r="J423" s="5">
        <v>19300</v>
      </c>
      <c r="K423" s="5">
        <f>ROUND(IF(ISNUMBER(J423), I423*J423, I423),5)</f>
        <v>19300</v>
      </c>
    </row>
    <row r="424" spans="1:11" x14ac:dyDescent="0.3">
      <c r="A424" s="2" t="s">
        <v>11</v>
      </c>
      <c r="B424" s="3">
        <v>45912</v>
      </c>
      <c r="C424" s="2" t="s">
        <v>270</v>
      </c>
      <c r="D424" s="2" t="s">
        <v>430</v>
      </c>
      <c r="E424" s="2" t="s">
        <v>480</v>
      </c>
      <c r="F424" s="2" t="s">
        <v>542</v>
      </c>
      <c r="G424" s="2" t="s">
        <v>550</v>
      </c>
      <c r="H424" s="2" t="s">
        <v>554</v>
      </c>
      <c r="I424" s="4">
        <v>1</v>
      </c>
      <c r="J424" s="5">
        <v>8100</v>
      </c>
      <c r="K424" s="5">
        <f>ROUND(IF(ISNUMBER(J424), I424*J424, I424),5)</f>
        <v>8100</v>
      </c>
    </row>
    <row r="425" spans="1:11" x14ac:dyDescent="0.3">
      <c r="A425" s="2" t="s">
        <v>11</v>
      </c>
      <c r="B425" s="3">
        <v>45913</v>
      </c>
      <c r="C425" s="2" t="s">
        <v>271</v>
      </c>
      <c r="D425" s="2" t="s">
        <v>348</v>
      </c>
      <c r="E425" s="2" t="s">
        <v>454</v>
      </c>
      <c r="F425" s="2" t="s">
        <v>543</v>
      </c>
      <c r="G425" s="2" t="s">
        <v>551</v>
      </c>
      <c r="H425" s="2" t="s">
        <v>553</v>
      </c>
      <c r="I425" s="4">
        <v>1</v>
      </c>
      <c r="J425" s="5">
        <v>496000</v>
      </c>
      <c r="K425" s="5">
        <f>ROUND(IF(ISNUMBER(J425), I425*J425, I425),5)</f>
        <v>496000</v>
      </c>
    </row>
    <row r="426" spans="1:11" x14ac:dyDescent="0.3">
      <c r="A426" s="2" t="s">
        <v>11</v>
      </c>
      <c r="B426" s="3">
        <v>45913</v>
      </c>
      <c r="C426" s="2" t="s">
        <v>271</v>
      </c>
      <c r="D426" s="2" t="s">
        <v>348</v>
      </c>
      <c r="E426" s="2" t="s">
        <v>454</v>
      </c>
      <c r="F426" s="2" t="s">
        <v>543</v>
      </c>
      <c r="G426" s="2" t="s">
        <v>551</v>
      </c>
      <c r="H426" s="2" t="s">
        <v>553</v>
      </c>
      <c r="I426" s="4">
        <v>1</v>
      </c>
      <c r="J426" s="5"/>
      <c r="K426" s="5"/>
    </row>
    <row r="427" spans="1:11" x14ac:dyDescent="0.3">
      <c r="A427" s="2" t="s">
        <v>11</v>
      </c>
      <c r="B427" s="3">
        <v>45913</v>
      </c>
      <c r="C427" s="2" t="s">
        <v>271</v>
      </c>
      <c r="D427" s="2" t="s">
        <v>348</v>
      </c>
      <c r="E427" s="2" t="s">
        <v>454</v>
      </c>
      <c r="F427" s="2" t="s">
        <v>543</v>
      </c>
      <c r="G427" s="2" t="s">
        <v>551</v>
      </c>
      <c r="H427" s="2" t="s">
        <v>553</v>
      </c>
      <c r="I427" s="4">
        <v>1</v>
      </c>
      <c r="J427" s="5"/>
      <c r="K427" s="5"/>
    </row>
    <row r="428" spans="1:11" x14ac:dyDescent="0.3">
      <c r="A428" s="2" t="s">
        <v>11</v>
      </c>
      <c r="B428" s="3">
        <v>45915</v>
      </c>
      <c r="C428" s="2" t="s">
        <v>272</v>
      </c>
      <c r="D428" s="2" t="s">
        <v>340</v>
      </c>
      <c r="E428" s="2" t="s">
        <v>482</v>
      </c>
      <c r="F428" s="2" t="s">
        <v>540</v>
      </c>
      <c r="G428" s="2" t="s">
        <v>548</v>
      </c>
      <c r="H428" s="2" t="s">
        <v>553</v>
      </c>
      <c r="I428" s="4">
        <v>10</v>
      </c>
      <c r="J428" s="5">
        <v>111000</v>
      </c>
      <c r="K428" s="5">
        <f>ROUND(IF(ISNUMBER(J428), I428*J428, I428),5)</f>
        <v>1110000</v>
      </c>
    </row>
    <row r="429" spans="1:11" x14ac:dyDescent="0.3">
      <c r="A429" s="2" t="s">
        <v>11</v>
      </c>
      <c r="B429" s="3">
        <v>45915</v>
      </c>
      <c r="C429" s="2" t="s">
        <v>272</v>
      </c>
      <c r="D429" s="2" t="s">
        <v>340</v>
      </c>
      <c r="E429" s="2" t="s">
        <v>532</v>
      </c>
      <c r="F429" s="2" t="s">
        <v>519</v>
      </c>
      <c r="G429" s="2" t="s">
        <v>548</v>
      </c>
      <c r="H429" s="2" t="s">
        <v>553</v>
      </c>
      <c r="I429" s="4">
        <v>3</v>
      </c>
      <c r="J429" s="5">
        <v>182000</v>
      </c>
      <c r="K429" s="5">
        <f>ROUND(IF(ISNUMBER(J429), I429*J429, I429),5)</f>
        <v>546000</v>
      </c>
    </row>
    <row r="430" spans="1:11" x14ac:dyDescent="0.3">
      <c r="A430" s="2" t="s">
        <v>11</v>
      </c>
      <c r="B430" s="3">
        <v>45915</v>
      </c>
      <c r="C430" s="2" t="s">
        <v>272</v>
      </c>
      <c r="D430" s="2" t="s">
        <v>340</v>
      </c>
      <c r="E430" s="2" t="s">
        <v>460</v>
      </c>
      <c r="F430" s="2" t="s">
        <v>519</v>
      </c>
      <c r="G430" s="2" t="s">
        <v>548</v>
      </c>
      <c r="H430" s="2" t="s">
        <v>553</v>
      </c>
      <c r="I430" s="4">
        <v>1</v>
      </c>
      <c r="J430" s="5"/>
      <c r="K430" s="5"/>
    </row>
    <row r="431" spans="1:11" x14ac:dyDescent="0.3">
      <c r="A431" s="2" t="s">
        <v>11</v>
      </c>
      <c r="B431" s="3">
        <v>45915</v>
      </c>
      <c r="C431" s="2" t="s">
        <v>272</v>
      </c>
      <c r="D431" s="2" t="s">
        <v>340</v>
      </c>
      <c r="E431" s="2" t="s">
        <v>533</v>
      </c>
      <c r="F431" s="2" t="s">
        <v>519</v>
      </c>
      <c r="G431" s="2" t="s">
        <v>548</v>
      </c>
      <c r="H431" s="2" t="s">
        <v>553</v>
      </c>
      <c r="I431" s="4">
        <v>1</v>
      </c>
      <c r="J431" s="5">
        <v>1386000</v>
      </c>
      <c r="K431" s="5">
        <f>ROUND(IF(ISNUMBER(J431), I431*J431, I431),5)</f>
        <v>1386000</v>
      </c>
    </row>
    <row r="432" spans="1:11" x14ac:dyDescent="0.3">
      <c r="A432" s="2" t="s">
        <v>11</v>
      </c>
      <c r="B432" s="3">
        <v>45917</v>
      </c>
      <c r="C432" s="2" t="s">
        <v>273</v>
      </c>
      <c r="D432" s="2" t="s">
        <v>431</v>
      </c>
      <c r="E432" s="2" t="s">
        <v>531</v>
      </c>
      <c r="F432" s="2" t="s">
        <v>542</v>
      </c>
      <c r="G432" s="2" t="s">
        <v>551</v>
      </c>
      <c r="H432" s="2" t="s">
        <v>554</v>
      </c>
      <c r="I432" s="4">
        <v>1</v>
      </c>
      <c r="J432" s="5">
        <v>14000</v>
      </c>
      <c r="K432" s="5">
        <f>ROUND(IF(ISNUMBER(J432), I432*J432, I432),5)</f>
        <v>14000</v>
      </c>
    </row>
    <row r="433" spans="1:11" x14ac:dyDescent="0.3">
      <c r="A433" s="2" t="s">
        <v>11</v>
      </c>
      <c r="B433" s="3">
        <v>45917</v>
      </c>
      <c r="C433" s="2" t="s">
        <v>274</v>
      </c>
      <c r="D433" s="2" t="s">
        <v>432</v>
      </c>
      <c r="E433" s="2" t="s">
        <v>510</v>
      </c>
      <c r="F433" s="2" t="s">
        <v>542</v>
      </c>
      <c r="G433" s="2" t="s">
        <v>550</v>
      </c>
      <c r="H433" s="2" t="s">
        <v>554</v>
      </c>
      <c r="I433" s="4">
        <v>1</v>
      </c>
      <c r="J433" s="5">
        <v>26500</v>
      </c>
      <c r="K433" s="5">
        <f>ROUND(IF(ISNUMBER(J433), I433*J433, I433),5)</f>
        <v>26500</v>
      </c>
    </row>
    <row r="434" spans="1:11" x14ac:dyDescent="0.3">
      <c r="A434" s="2" t="s">
        <v>11</v>
      </c>
      <c r="B434" s="3">
        <v>45918</v>
      </c>
      <c r="C434" s="2" t="s">
        <v>275</v>
      </c>
      <c r="D434" s="2" t="s">
        <v>341</v>
      </c>
      <c r="E434" s="2" t="s">
        <v>511</v>
      </c>
      <c r="F434" s="2" t="s">
        <v>542</v>
      </c>
      <c r="G434" s="2" t="s">
        <v>550</v>
      </c>
      <c r="H434" s="2" t="s">
        <v>554</v>
      </c>
      <c r="I434" s="4">
        <v>1</v>
      </c>
      <c r="J434" s="5">
        <v>21500</v>
      </c>
      <c r="K434" s="5">
        <f>ROUND(IF(ISNUMBER(J434), I434*J434, I434),5)</f>
        <v>21500</v>
      </c>
    </row>
    <row r="435" spans="1:11" x14ac:dyDescent="0.3">
      <c r="A435" s="2" t="s">
        <v>11</v>
      </c>
      <c r="B435" s="3">
        <v>45918</v>
      </c>
      <c r="C435" s="2" t="s">
        <v>275</v>
      </c>
      <c r="D435" s="2" t="s">
        <v>341</v>
      </c>
      <c r="E435" s="2" t="s">
        <v>510</v>
      </c>
      <c r="F435" s="2" t="s">
        <v>542</v>
      </c>
      <c r="G435" s="2" t="s">
        <v>550</v>
      </c>
      <c r="H435" s="2" t="s">
        <v>554</v>
      </c>
      <c r="I435" s="4">
        <v>1</v>
      </c>
      <c r="J435" s="5">
        <v>28000</v>
      </c>
      <c r="K435" s="5">
        <f>ROUND(IF(ISNUMBER(J435), I435*J435, I435),5)</f>
        <v>28000</v>
      </c>
    </row>
    <row r="436" spans="1:11" x14ac:dyDescent="0.3">
      <c r="A436" s="2" t="s">
        <v>11</v>
      </c>
      <c r="B436" s="3">
        <v>45920</v>
      </c>
      <c r="C436" s="2" t="s">
        <v>276</v>
      </c>
      <c r="D436" s="2" t="s">
        <v>352</v>
      </c>
      <c r="E436" s="2" t="s">
        <v>513</v>
      </c>
      <c r="F436" s="2" t="s">
        <v>546</v>
      </c>
      <c r="G436" s="2" t="s">
        <v>549</v>
      </c>
      <c r="H436" s="2" t="s">
        <v>553</v>
      </c>
      <c r="I436" s="4">
        <v>1</v>
      </c>
      <c r="J436" s="5">
        <v>25000</v>
      </c>
      <c r="K436" s="5">
        <f>ROUND(IF(ISNUMBER(J436), I436*J436, I436),5)</f>
        <v>25000</v>
      </c>
    </row>
    <row r="437" spans="1:11" x14ac:dyDescent="0.3">
      <c r="A437" s="2" t="s">
        <v>11</v>
      </c>
      <c r="B437" s="3">
        <v>45922</v>
      </c>
      <c r="C437" s="2" t="s">
        <v>277</v>
      </c>
      <c r="D437" s="2" t="s">
        <v>433</v>
      </c>
      <c r="E437" s="2" t="s">
        <v>534</v>
      </c>
      <c r="F437" s="2" t="s">
        <v>519</v>
      </c>
      <c r="G437" s="2" t="s">
        <v>548</v>
      </c>
      <c r="H437" s="2" t="s">
        <v>553</v>
      </c>
      <c r="I437" s="4">
        <v>1</v>
      </c>
      <c r="J437" s="5">
        <v>256162.5</v>
      </c>
      <c r="K437" s="5">
        <f>ROUND(IF(ISNUMBER(J437), I437*J437, I437),5)</f>
        <v>256162.5</v>
      </c>
    </row>
    <row r="438" spans="1:11" x14ac:dyDescent="0.3">
      <c r="A438" s="2" t="s">
        <v>11</v>
      </c>
      <c r="B438" s="3">
        <v>45922</v>
      </c>
      <c r="C438" s="2" t="s">
        <v>277</v>
      </c>
      <c r="D438" s="2" t="s">
        <v>433</v>
      </c>
      <c r="E438" s="2" t="s">
        <v>442</v>
      </c>
      <c r="F438" s="2" t="s">
        <v>540</v>
      </c>
      <c r="G438" s="2" t="s">
        <v>548</v>
      </c>
      <c r="H438" s="2" t="s">
        <v>553</v>
      </c>
      <c r="I438" s="4">
        <v>5</v>
      </c>
      <c r="J438" s="5">
        <v>40500</v>
      </c>
      <c r="K438" s="5">
        <f>ROUND(IF(ISNUMBER(J438), I438*J438, I438),5)</f>
        <v>202500</v>
      </c>
    </row>
    <row r="439" spans="1:11" x14ac:dyDescent="0.3">
      <c r="A439" s="2" t="s">
        <v>11</v>
      </c>
      <c r="B439" s="3">
        <v>45923</v>
      </c>
      <c r="C439" s="2" t="s">
        <v>278</v>
      </c>
      <c r="D439" s="2" t="s">
        <v>434</v>
      </c>
      <c r="E439" s="2" t="s">
        <v>500</v>
      </c>
      <c r="F439" s="2" t="s">
        <v>519</v>
      </c>
      <c r="G439" s="2" t="s">
        <v>551</v>
      </c>
      <c r="H439" s="2" t="s">
        <v>554</v>
      </c>
      <c r="I439" s="4">
        <v>1</v>
      </c>
      <c r="J439" s="5">
        <v>240720</v>
      </c>
      <c r="K439" s="5">
        <f>ROUND(IF(ISNUMBER(J439), I439*J439, I439),5)</f>
        <v>240720</v>
      </c>
    </row>
    <row r="440" spans="1:11" x14ac:dyDescent="0.3">
      <c r="A440" s="2" t="s">
        <v>11</v>
      </c>
      <c r="B440" s="3">
        <v>45923</v>
      </c>
      <c r="C440" s="2" t="s">
        <v>278</v>
      </c>
      <c r="D440" s="2" t="s">
        <v>434</v>
      </c>
      <c r="E440" s="2" t="s">
        <v>482</v>
      </c>
      <c r="F440" s="2" t="s">
        <v>540</v>
      </c>
      <c r="G440" s="2" t="s">
        <v>551</v>
      </c>
      <c r="H440" s="2" t="s">
        <v>554</v>
      </c>
      <c r="I440" s="4">
        <v>4</v>
      </c>
      <c r="J440" s="5">
        <v>132160</v>
      </c>
      <c r="K440" s="5">
        <f>ROUND(IF(ISNUMBER(J440), I440*J440, I440),5)</f>
        <v>528640</v>
      </c>
    </row>
    <row r="441" spans="1:11" x14ac:dyDescent="0.3">
      <c r="A441" s="2" t="s">
        <v>11</v>
      </c>
      <c r="B441" s="3">
        <v>45923</v>
      </c>
      <c r="C441" s="2" t="s">
        <v>279</v>
      </c>
      <c r="D441" s="2" t="s">
        <v>392</v>
      </c>
      <c r="E441" s="2" t="s">
        <v>454</v>
      </c>
      <c r="F441" s="2" t="s">
        <v>543</v>
      </c>
      <c r="G441" s="2" t="s">
        <v>552</v>
      </c>
      <c r="H441" s="2" t="s">
        <v>554</v>
      </c>
      <c r="I441" s="4">
        <v>1</v>
      </c>
      <c r="J441" s="5">
        <v>1500</v>
      </c>
      <c r="K441" s="5">
        <f>ROUND(IF(ISNUMBER(J441), I441*J441, I441),5)</f>
        <v>1500</v>
      </c>
    </row>
    <row r="442" spans="1:11" x14ac:dyDescent="0.3">
      <c r="A442" s="2" t="s">
        <v>11</v>
      </c>
      <c r="B442" s="3">
        <v>45923</v>
      </c>
      <c r="C442" s="2" t="s">
        <v>280</v>
      </c>
      <c r="D442" s="2" t="s">
        <v>402</v>
      </c>
      <c r="E442" s="2" t="s">
        <v>454</v>
      </c>
      <c r="F442" s="2" t="s">
        <v>543</v>
      </c>
      <c r="G442" s="2" t="s">
        <v>552</v>
      </c>
      <c r="H442" s="2" t="s">
        <v>554</v>
      </c>
      <c r="I442" s="4">
        <v>1</v>
      </c>
      <c r="J442" s="5">
        <v>12500</v>
      </c>
      <c r="K442" s="5">
        <f>ROUND(IF(ISNUMBER(J442), I442*J442, I442),5)</f>
        <v>12500</v>
      </c>
    </row>
    <row r="443" spans="1:11" x14ac:dyDescent="0.3">
      <c r="A443" s="2" t="s">
        <v>11</v>
      </c>
      <c r="B443" s="3">
        <v>45923</v>
      </c>
      <c r="C443" s="2" t="s">
        <v>281</v>
      </c>
      <c r="D443" s="2" t="s">
        <v>328</v>
      </c>
      <c r="E443" s="2" t="s">
        <v>454</v>
      </c>
      <c r="F443" s="2" t="s">
        <v>543</v>
      </c>
      <c r="G443" s="2" t="s">
        <v>552</v>
      </c>
      <c r="H443" s="2" t="s">
        <v>554</v>
      </c>
      <c r="I443" s="4">
        <v>1</v>
      </c>
      <c r="J443" s="5">
        <v>2000</v>
      </c>
      <c r="K443" s="5">
        <f>ROUND(IF(ISNUMBER(J443), I443*J443, I443),5)</f>
        <v>2000</v>
      </c>
    </row>
    <row r="444" spans="1:11" x14ac:dyDescent="0.3">
      <c r="A444" s="2" t="s">
        <v>11</v>
      </c>
      <c r="B444" s="3">
        <v>45923</v>
      </c>
      <c r="C444" s="2" t="s">
        <v>282</v>
      </c>
      <c r="D444" s="2" t="s">
        <v>328</v>
      </c>
      <c r="E444" s="2" t="s">
        <v>454</v>
      </c>
      <c r="F444" s="2" t="s">
        <v>543</v>
      </c>
      <c r="G444" s="2" t="s">
        <v>552</v>
      </c>
      <c r="H444" s="2" t="s">
        <v>554</v>
      </c>
      <c r="I444" s="4">
        <v>1</v>
      </c>
      <c r="J444" s="5">
        <v>2000</v>
      </c>
      <c r="K444" s="5">
        <f>ROUND(IF(ISNUMBER(J444), I444*J444, I444),5)</f>
        <v>2000</v>
      </c>
    </row>
    <row r="445" spans="1:11" x14ac:dyDescent="0.3">
      <c r="A445" s="2" t="s">
        <v>11</v>
      </c>
      <c r="B445" s="3">
        <v>45923</v>
      </c>
      <c r="C445" s="2" t="s">
        <v>283</v>
      </c>
      <c r="D445" s="2" t="s">
        <v>347</v>
      </c>
      <c r="E445" s="2" t="s">
        <v>535</v>
      </c>
      <c r="F445" s="2" t="s">
        <v>542</v>
      </c>
      <c r="G445" s="2" t="s">
        <v>551</v>
      </c>
      <c r="H445" s="2" t="s">
        <v>554</v>
      </c>
      <c r="I445" s="4">
        <v>3</v>
      </c>
      <c r="J445" s="5">
        <v>118000</v>
      </c>
      <c r="K445" s="5">
        <f>ROUND(IF(ISNUMBER(J445), I445*J445, I445),5)</f>
        <v>354000</v>
      </c>
    </row>
    <row r="446" spans="1:11" x14ac:dyDescent="0.3">
      <c r="A446" s="2" t="s">
        <v>11</v>
      </c>
      <c r="B446" s="3">
        <v>45923</v>
      </c>
      <c r="C446" s="2" t="s">
        <v>284</v>
      </c>
      <c r="D446" s="2" t="s">
        <v>335</v>
      </c>
      <c r="E446" s="2" t="s">
        <v>473</v>
      </c>
      <c r="F446" s="2" t="s">
        <v>544</v>
      </c>
      <c r="G446" s="2" t="s">
        <v>549</v>
      </c>
      <c r="H446" s="2" t="s">
        <v>553</v>
      </c>
      <c r="I446" s="4">
        <v>1</v>
      </c>
      <c r="J446" s="5">
        <v>18626.34</v>
      </c>
      <c r="K446" s="5">
        <f>ROUND(IF(ISNUMBER(J446), I446*J446, I446),5)</f>
        <v>18626.34</v>
      </c>
    </row>
    <row r="447" spans="1:11" x14ac:dyDescent="0.3">
      <c r="A447" s="2" t="s">
        <v>11</v>
      </c>
      <c r="B447" s="3">
        <v>45923</v>
      </c>
      <c r="C447" s="2" t="s">
        <v>285</v>
      </c>
      <c r="D447" s="2" t="s">
        <v>335</v>
      </c>
      <c r="E447" s="2" t="s">
        <v>472</v>
      </c>
      <c r="F447" s="2" t="s">
        <v>544</v>
      </c>
      <c r="G447" s="2" t="s">
        <v>549</v>
      </c>
      <c r="H447" s="2" t="s">
        <v>553</v>
      </c>
      <c r="I447" s="4">
        <v>1</v>
      </c>
      <c r="J447" s="5">
        <v>6788.21</v>
      </c>
      <c r="K447" s="5">
        <f>ROUND(IF(ISNUMBER(J447), I447*J447, I447),5)</f>
        <v>6788.21</v>
      </c>
    </row>
    <row r="448" spans="1:11" x14ac:dyDescent="0.3">
      <c r="A448" s="2" t="s">
        <v>11</v>
      </c>
      <c r="B448" s="3">
        <v>45923</v>
      </c>
      <c r="C448" s="2" t="s">
        <v>286</v>
      </c>
      <c r="D448" s="2" t="s">
        <v>336</v>
      </c>
      <c r="E448" s="2" t="s">
        <v>473</v>
      </c>
      <c r="F448" s="2" t="s">
        <v>544</v>
      </c>
      <c r="G448" s="2" t="s">
        <v>549</v>
      </c>
      <c r="H448" s="2" t="s">
        <v>553</v>
      </c>
      <c r="I448" s="4">
        <v>1</v>
      </c>
      <c r="J448" s="5">
        <v>15275</v>
      </c>
      <c r="K448" s="5">
        <f>ROUND(IF(ISNUMBER(J448), I448*J448, I448),5)</f>
        <v>15275</v>
      </c>
    </row>
    <row r="449" spans="1:11" x14ac:dyDescent="0.3">
      <c r="A449" s="2" t="s">
        <v>11</v>
      </c>
      <c r="B449" s="3">
        <v>45923</v>
      </c>
      <c r="C449" s="2" t="s">
        <v>287</v>
      </c>
      <c r="D449" s="2" t="s">
        <v>334</v>
      </c>
      <c r="E449" s="2" t="s">
        <v>471</v>
      </c>
      <c r="F449" s="2" t="s">
        <v>544</v>
      </c>
      <c r="G449" s="2" t="s">
        <v>549</v>
      </c>
      <c r="H449" s="2" t="s">
        <v>553</v>
      </c>
      <c r="I449" s="4">
        <v>1</v>
      </c>
      <c r="J449" s="5">
        <v>3055</v>
      </c>
      <c r="K449" s="5">
        <f>ROUND(IF(ISNUMBER(J449), I449*J449, I449),5)</f>
        <v>3055</v>
      </c>
    </row>
    <row r="450" spans="1:11" x14ac:dyDescent="0.3">
      <c r="A450" s="2" t="s">
        <v>11</v>
      </c>
      <c r="B450" s="3">
        <v>45924</v>
      </c>
      <c r="C450" s="2" t="s">
        <v>288</v>
      </c>
      <c r="D450" s="2" t="s">
        <v>312</v>
      </c>
      <c r="E450" s="2" t="s">
        <v>500</v>
      </c>
      <c r="F450" s="2" t="s">
        <v>519</v>
      </c>
      <c r="G450" s="2" t="s">
        <v>548</v>
      </c>
      <c r="H450" s="2" t="s">
        <v>553</v>
      </c>
      <c r="I450" s="4">
        <v>1</v>
      </c>
      <c r="J450" s="5">
        <v>202000</v>
      </c>
      <c r="K450" s="5">
        <f>ROUND(IF(ISNUMBER(J450), I450*J450, I450),5)</f>
        <v>202000</v>
      </c>
    </row>
    <row r="451" spans="1:11" x14ac:dyDescent="0.3">
      <c r="A451" s="2" t="s">
        <v>11</v>
      </c>
      <c r="B451" s="3">
        <v>45924</v>
      </c>
      <c r="C451" s="2" t="s">
        <v>288</v>
      </c>
      <c r="D451" s="2" t="s">
        <v>312</v>
      </c>
      <c r="E451" s="2" t="s">
        <v>451</v>
      </c>
      <c r="F451" s="2" t="s">
        <v>540</v>
      </c>
      <c r="G451" s="2" t="s">
        <v>548</v>
      </c>
      <c r="H451" s="2" t="s">
        <v>553</v>
      </c>
      <c r="I451" s="4">
        <v>4</v>
      </c>
      <c r="J451" s="5">
        <v>123000</v>
      </c>
      <c r="K451" s="5">
        <f>ROUND(IF(ISNUMBER(J451), I451*J451, I451),5)</f>
        <v>492000</v>
      </c>
    </row>
    <row r="452" spans="1:11" x14ac:dyDescent="0.3">
      <c r="A452" s="2" t="s">
        <v>11</v>
      </c>
      <c r="B452" s="3">
        <v>45924</v>
      </c>
      <c r="C452" s="2" t="s">
        <v>289</v>
      </c>
      <c r="D452" s="2" t="s">
        <v>312</v>
      </c>
      <c r="E452" s="2" t="s">
        <v>459</v>
      </c>
      <c r="F452" s="2" t="s">
        <v>519</v>
      </c>
      <c r="G452" s="2" t="s">
        <v>548</v>
      </c>
      <c r="H452" s="2" t="s">
        <v>553</v>
      </c>
      <c r="I452" s="4">
        <v>1</v>
      </c>
      <c r="J452" s="5">
        <v>605500</v>
      </c>
      <c r="K452" s="5">
        <f>ROUND(IF(ISNUMBER(J452), I452*J452, I452),5)</f>
        <v>605500</v>
      </c>
    </row>
    <row r="453" spans="1:11" x14ac:dyDescent="0.3">
      <c r="A453" s="2" t="s">
        <v>11</v>
      </c>
      <c r="B453" s="3">
        <v>45924</v>
      </c>
      <c r="C453" s="2" t="s">
        <v>289</v>
      </c>
      <c r="D453" s="2" t="s">
        <v>312</v>
      </c>
      <c r="E453" s="2" t="s">
        <v>453</v>
      </c>
      <c r="F453" s="2" t="s">
        <v>540</v>
      </c>
      <c r="G453" s="2" t="s">
        <v>548</v>
      </c>
      <c r="H453" s="2" t="s">
        <v>553</v>
      </c>
      <c r="I453" s="4">
        <v>6</v>
      </c>
      <c r="J453" s="5">
        <v>82083.33</v>
      </c>
      <c r="K453" s="5">
        <f>ROUND(IF(ISNUMBER(J453), I453*J453, I453),5)</f>
        <v>492499.98</v>
      </c>
    </row>
    <row r="454" spans="1:11" x14ac:dyDescent="0.3">
      <c r="A454" s="2" t="s">
        <v>11</v>
      </c>
      <c r="B454" s="3">
        <v>45924</v>
      </c>
      <c r="C454" s="2" t="s">
        <v>289</v>
      </c>
      <c r="D454" s="2" t="s">
        <v>312</v>
      </c>
      <c r="E454" s="2" t="s">
        <v>460</v>
      </c>
      <c r="F454" s="2" t="s">
        <v>519</v>
      </c>
      <c r="G454" s="2" t="s">
        <v>548</v>
      </c>
      <c r="H454" s="2" t="s">
        <v>553</v>
      </c>
      <c r="I454" s="4">
        <v>1</v>
      </c>
      <c r="J454" s="5"/>
      <c r="K454" s="5"/>
    </row>
    <row r="455" spans="1:11" x14ac:dyDescent="0.3">
      <c r="A455" s="2" t="s">
        <v>11</v>
      </c>
      <c r="B455" s="3">
        <v>45924</v>
      </c>
      <c r="C455" s="2" t="s">
        <v>290</v>
      </c>
      <c r="D455" s="2" t="s">
        <v>315</v>
      </c>
      <c r="E455" s="2" t="s">
        <v>517</v>
      </c>
      <c r="F455" s="2" t="s">
        <v>519</v>
      </c>
      <c r="G455" s="2" t="s">
        <v>551</v>
      </c>
      <c r="H455" s="2" t="s">
        <v>553</v>
      </c>
      <c r="I455" s="4">
        <v>1</v>
      </c>
      <c r="J455" s="5">
        <v>196000</v>
      </c>
      <c r="K455" s="5">
        <f>ROUND(IF(ISNUMBER(J455), I455*J455, I455),5)</f>
        <v>196000</v>
      </c>
    </row>
    <row r="456" spans="1:11" x14ac:dyDescent="0.3">
      <c r="A456" s="2" t="s">
        <v>11</v>
      </c>
      <c r="B456" s="3">
        <v>45924</v>
      </c>
      <c r="C456" s="2" t="s">
        <v>290</v>
      </c>
      <c r="D456" s="2" t="s">
        <v>315</v>
      </c>
      <c r="E456" s="2" t="s">
        <v>453</v>
      </c>
      <c r="F456" s="2" t="s">
        <v>540</v>
      </c>
      <c r="G456" s="2" t="s">
        <v>551</v>
      </c>
      <c r="H456" s="2" t="s">
        <v>553</v>
      </c>
      <c r="I456" s="4">
        <v>4</v>
      </c>
      <c r="J456" s="5">
        <v>83000</v>
      </c>
      <c r="K456" s="5">
        <f>ROUND(IF(ISNUMBER(J456), I456*J456, I456),5)</f>
        <v>332000</v>
      </c>
    </row>
    <row r="457" spans="1:11" x14ac:dyDescent="0.3">
      <c r="A457" s="2" t="s">
        <v>11</v>
      </c>
      <c r="B457" s="3">
        <v>45924</v>
      </c>
      <c r="C457" s="2" t="s">
        <v>290</v>
      </c>
      <c r="D457" s="2" t="s">
        <v>315</v>
      </c>
      <c r="E457" s="2" t="s">
        <v>441</v>
      </c>
      <c r="F457" s="2" t="s">
        <v>547</v>
      </c>
      <c r="G457" s="2" t="s">
        <v>551</v>
      </c>
      <c r="H457" s="2" t="s">
        <v>553</v>
      </c>
      <c r="I457" s="4"/>
      <c r="J457" s="5">
        <v>-7000</v>
      </c>
      <c r="K457" s="5">
        <v>-7000</v>
      </c>
    </row>
    <row r="458" spans="1:11" x14ac:dyDescent="0.3">
      <c r="A458" s="2" t="s">
        <v>11</v>
      </c>
      <c r="B458" s="3">
        <v>45924</v>
      </c>
      <c r="C458" s="2" t="s">
        <v>291</v>
      </c>
      <c r="D458" s="2" t="s">
        <v>313</v>
      </c>
      <c r="E458" s="2" t="s">
        <v>509</v>
      </c>
      <c r="F458" s="2" t="s">
        <v>519</v>
      </c>
      <c r="G458" s="2" t="s">
        <v>549</v>
      </c>
      <c r="H458" s="2" t="s">
        <v>553</v>
      </c>
      <c r="I458" s="4">
        <v>1</v>
      </c>
      <c r="J458" s="5">
        <v>113000</v>
      </c>
      <c r="K458" s="5">
        <f>ROUND(IF(ISNUMBER(J458), I458*J458, I458),5)</f>
        <v>113000</v>
      </c>
    </row>
    <row r="459" spans="1:11" x14ac:dyDescent="0.3">
      <c r="A459" s="2" t="s">
        <v>11</v>
      </c>
      <c r="B459" s="3">
        <v>45924</v>
      </c>
      <c r="C459" s="2" t="s">
        <v>291</v>
      </c>
      <c r="D459" s="2" t="s">
        <v>313</v>
      </c>
      <c r="E459" s="2" t="s">
        <v>446</v>
      </c>
      <c r="F459" s="2" t="s">
        <v>519</v>
      </c>
      <c r="G459" s="2" t="s">
        <v>549</v>
      </c>
      <c r="H459" s="2" t="s">
        <v>553</v>
      </c>
      <c r="I459" s="4">
        <v>1</v>
      </c>
      <c r="J459" s="5">
        <v>64000</v>
      </c>
      <c r="K459" s="5">
        <f>ROUND(IF(ISNUMBER(J459), I459*J459, I459),5)</f>
        <v>64000</v>
      </c>
    </row>
    <row r="460" spans="1:11" x14ac:dyDescent="0.3">
      <c r="A460" s="2" t="s">
        <v>11</v>
      </c>
      <c r="B460" s="3">
        <v>45924</v>
      </c>
      <c r="C460" s="2" t="s">
        <v>291</v>
      </c>
      <c r="D460" s="2" t="s">
        <v>313</v>
      </c>
      <c r="E460" s="2" t="s">
        <v>444</v>
      </c>
      <c r="F460" s="2" t="s">
        <v>519</v>
      </c>
      <c r="G460" s="2" t="s">
        <v>549</v>
      </c>
      <c r="H460" s="2" t="s">
        <v>553</v>
      </c>
      <c r="I460" s="4">
        <v>2</v>
      </c>
      <c r="J460" s="5">
        <v>130000</v>
      </c>
      <c r="K460" s="5">
        <f>ROUND(IF(ISNUMBER(J460), I460*J460, I460),5)</f>
        <v>260000</v>
      </c>
    </row>
    <row r="461" spans="1:11" x14ac:dyDescent="0.3">
      <c r="A461" s="2" t="s">
        <v>11</v>
      </c>
      <c r="B461" s="3">
        <v>45924</v>
      </c>
      <c r="C461" s="2" t="s">
        <v>292</v>
      </c>
      <c r="D461" s="2" t="s">
        <v>435</v>
      </c>
      <c r="E461" s="2" t="s">
        <v>444</v>
      </c>
      <c r="F461" s="2" t="s">
        <v>519</v>
      </c>
      <c r="G461" s="2" t="s">
        <v>548</v>
      </c>
      <c r="H461" s="2" t="s">
        <v>553</v>
      </c>
      <c r="I461" s="4">
        <v>1</v>
      </c>
      <c r="J461" s="5">
        <v>129600</v>
      </c>
      <c r="K461" s="5">
        <f>ROUND(IF(ISNUMBER(J461), I461*J461, I461),5)</f>
        <v>129600</v>
      </c>
    </row>
    <row r="462" spans="1:11" x14ac:dyDescent="0.3">
      <c r="A462" s="2" t="s">
        <v>11</v>
      </c>
      <c r="B462" s="3">
        <v>45924</v>
      </c>
      <c r="C462" s="2" t="s">
        <v>292</v>
      </c>
      <c r="D462" s="2" t="s">
        <v>435</v>
      </c>
      <c r="E462" s="2" t="s">
        <v>466</v>
      </c>
      <c r="F462" s="2" t="s">
        <v>540</v>
      </c>
      <c r="G462" s="2" t="s">
        <v>548</v>
      </c>
      <c r="H462" s="2" t="s">
        <v>553</v>
      </c>
      <c r="I462" s="4">
        <v>4</v>
      </c>
      <c r="J462" s="5">
        <v>62000</v>
      </c>
      <c r="K462" s="5">
        <f>ROUND(IF(ISNUMBER(J462), I462*J462, I462),5)</f>
        <v>248000</v>
      </c>
    </row>
    <row r="463" spans="1:11" x14ac:dyDescent="0.3">
      <c r="A463" s="2" t="s">
        <v>11</v>
      </c>
      <c r="B463" s="3">
        <v>45925</v>
      </c>
      <c r="C463" s="2" t="s">
        <v>293</v>
      </c>
      <c r="D463" s="2" t="s">
        <v>340</v>
      </c>
      <c r="E463" s="2" t="s">
        <v>481</v>
      </c>
      <c r="F463" s="2" t="s">
        <v>519</v>
      </c>
      <c r="G463" s="2" t="s">
        <v>548</v>
      </c>
      <c r="H463" s="2" t="s">
        <v>553</v>
      </c>
      <c r="I463" s="4">
        <v>1</v>
      </c>
      <c r="J463" s="5">
        <v>464000</v>
      </c>
      <c r="K463" s="5">
        <f>ROUND(IF(ISNUMBER(J463), I463*J463, I463),5)</f>
        <v>464000</v>
      </c>
    </row>
    <row r="464" spans="1:11" x14ac:dyDescent="0.3">
      <c r="A464" s="2" t="s">
        <v>11</v>
      </c>
      <c r="B464" s="3">
        <v>45925</v>
      </c>
      <c r="C464" s="2" t="s">
        <v>293</v>
      </c>
      <c r="D464" s="2" t="s">
        <v>340</v>
      </c>
      <c r="E464" s="2" t="s">
        <v>453</v>
      </c>
      <c r="F464" s="2" t="s">
        <v>540</v>
      </c>
      <c r="G464" s="2" t="s">
        <v>548</v>
      </c>
      <c r="H464" s="2" t="s">
        <v>553</v>
      </c>
      <c r="I464" s="4">
        <v>4</v>
      </c>
      <c r="J464" s="5">
        <v>82000</v>
      </c>
      <c r="K464" s="5">
        <f>ROUND(IF(ISNUMBER(J464), I464*J464, I464),5)</f>
        <v>328000</v>
      </c>
    </row>
    <row r="465" spans="1:11" x14ac:dyDescent="0.3">
      <c r="A465" s="2" t="s">
        <v>11</v>
      </c>
      <c r="B465" s="3">
        <v>45925</v>
      </c>
      <c r="C465" s="2" t="s">
        <v>293</v>
      </c>
      <c r="D465" s="2" t="s">
        <v>340</v>
      </c>
      <c r="E465" s="2" t="s">
        <v>483</v>
      </c>
      <c r="F465" s="2" t="s">
        <v>519</v>
      </c>
      <c r="G465" s="2" t="s">
        <v>548</v>
      </c>
      <c r="H465" s="2" t="s">
        <v>553</v>
      </c>
      <c r="I465" s="4">
        <v>1</v>
      </c>
      <c r="J465" s="5"/>
      <c r="K465" s="5"/>
    </row>
    <row r="466" spans="1:11" x14ac:dyDescent="0.3">
      <c r="A466" s="2" t="s">
        <v>12</v>
      </c>
      <c r="B466" s="3">
        <v>45926</v>
      </c>
      <c r="C466" s="2" t="s">
        <v>294</v>
      </c>
      <c r="D466" s="2" t="s">
        <v>425</v>
      </c>
      <c r="E466" s="2" t="s">
        <v>509</v>
      </c>
      <c r="F466" s="2" t="s">
        <v>519</v>
      </c>
      <c r="G466" s="2"/>
      <c r="H466" s="2" t="s">
        <v>554</v>
      </c>
      <c r="I466" s="4">
        <v>-1</v>
      </c>
      <c r="J466" s="5">
        <v>133340</v>
      </c>
      <c r="K466" s="5">
        <f>ROUND(IF(ISNUMBER(J466), I466*J466, I466),5)</f>
        <v>-133340</v>
      </c>
    </row>
    <row r="467" spans="1:11" x14ac:dyDescent="0.3">
      <c r="A467" s="2" t="s">
        <v>11</v>
      </c>
      <c r="B467" s="3">
        <v>45926</v>
      </c>
      <c r="C467" s="2" t="s">
        <v>295</v>
      </c>
      <c r="D467" s="2" t="s">
        <v>436</v>
      </c>
      <c r="E467" s="2" t="s">
        <v>445</v>
      </c>
      <c r="F467" s="2" t="s">
        <v>542</v>
      </c>
      <c r="G467" s="2" t="s">
        <v>550</v>
      </c>
      <c r="H467" s="2" t="s">
        <v>554</v>
      </c>
      <c r="I467" s="4">
        <v>1</v>
      </c>
      <c r="J467" s="5">
        <v>48250</v>
      </c>
      <c r="K467" s="5">
        <f>ROUND(IF(ISNUMBER(J467), I467*J467, I467),5)</f>
        <v>48250</v>
      </c>
    </row>
    <row r="468" spans="1:11" x14ac:dyDescent="0.3">
      <c r="A468" s="2" t="s">
        <v>11</v>
      </c>
      <c r="B468" s="3">
        <v>45926</v>
      </c>
      <c r="C468" s="2" t="s">
        <v>295</v>
      </c>
      <c r="D468" s="2" t="s">
        <v>436</v>
      </c>
      <c r="E468" s="2" t="s">
        <v>510</v>
      </c>
      <c r="F468" s="2" t="s">
        <v>542</v>
      </c>
      <c r="G468" s="2" t="s">
        <v>550</v>
      </c>
      <c r="H468" s="2" t="s">
        <v>554</v>
      </c>
      <c r="I468" s="4">
        <v>2</v>
      </c>
      <c r="J468" s="5">
        <v>24300</v>
      </c>
      <c r="K468" s="5">
        <f>ROUND(IF(ISNUMBER(J468), I468*J468, I468),5)</f>
        <v>48600</v>
      </c>
    </row>
    <row r="469" spans="1:11" x14ac:dyDescent="0.3">
      <c r="A469" s="2" t="s">
        <v>11</v>
      </c>
      <c r="B469" s="3">
        <v>45926</v>
      </c>
      <c r="C469" s="2" t="s">
        <v>296</v>
      </c>
      <c r="D469" s="2" t="s">
        <v>403</v>
      </c>
      <c r="E469" s="2" t="s">
        <v>509</v>
      </c>
      <c r="F469" s="2" t="s">
        <v>519</v>
      </c>
      <c r="G469" s="2" t="s">
        <v>549</v>
      </c>
      <c r="H469" s="2" t="s">
        <v>553</v>
      </c>
      <c r="I469" s="4">
        <v>1</v>
      </c>
      <c r="J469" s="5">
        <v>277000</v>
      </c>
      <c r="K469" s="5">
        <f>ROUND(IF(ISNUMBER(J469), I469*J469, I469),5)</f>
        <v>277000</v>
      </c>
    </row>
    <row r="470" spans="1:11" x14ac:dyDescent="0.3">
      <c r="A470" s="2" t="s">
        <v>11</v>
      </c>
      <c r="B470" s="3">
        <v>45926</v>
      </c>
      <c r="C470" s="2" t="s">
        <v>296</v>
      </c>
      <c r="D470" s="2" t="s">
        <v>403</v>
      </c>
      <c r="E470" s="2" t="s">
        <v>453</v>
      </c>
      <c r="F470" s="2" t="s">
        <v>540</v>
      </c>
      <c r="G470" s="2" t="s">
        <v>549</v>
      </c>
      <c r="H470" s="2" t="s">
        <v>553</v>
      </c>
      <c r="I470" s="4">
        <v>2</v>
      </c>
      <c r="J470" s="5"/>
      <c r="K470" s="5"/>
    </row>
    <row r="471" spans="1:11" x14ac:dyDescent="0.3">
      <c r="A471" s="2" t="s">
        <v>11</v>
      </c>
      <c r="B471" s="3">
        <v>45929</v>
      </c>
      <c r="C471" s="2" t="s">
        <v>297</v>
      </c>
      <c r="D471" s="2" t="s">
        <v>421</v>
      </c>
      <c r="E471" s="2" t="s">
        <v>534</v>
      </c>
      <c r="F471" s="2" t="s">
        <v>519</v>
      </c>
      <c r="G471" s="2" t="s">
        <v>548</v>
      </c>
      <c r="H471" s="2" t="s">
        <v>553</v>
      </c>
      <c r="I471" s="4">
        <v>1</v>
      </c>
      <c r="J471" s="5">
        <v>253000</v>
      </c>
      <c r="K471" s="5">
        <f>ROUND(IF(ISNUMBER(J471), I471*J471, I471),5)</f>
        <v>253000</v>
      </c>
    </row>
    <row r="472" spans="1:11" x14ac:dyDescent="0.3">
      <c r="A472" s="2" t="s">
        <v>11</v>
      </c>
      <c r="B472" s="3">
        <v>45929</v>
      </c>
      <c r="C472" s="2" t="s">
        <v>297</v>
      </c>
      <c r="D472" s="2" t="s">
        <v>421</v>
      </c>
      <c r="E472" s="2" t="s">
        <v>466</v>
      </c>
      <c r="F472" s="2" t="s">
        <v>540</v>
      </c>
      <c r="G472" s="2" t="s">
        <v>548</v>
      </c>
      <c r="H472" s="2" t="s">
        <v>553</v>
      </c>
      <c r="I472" s="4">
        <v>3</v>
      </c>
      <c r="J472" s="5">
        <v>62000</v>
      </c>
      <c r="K472" s="5">
        <f>ROUND(IF(ISNUMBER(J472), I472*J472, I472),5)</f>
        <v>186000</v>
      </c>
    </row>
    <row r="473" spans="1:11" x14ac:dyDescent="0.3">
      <c r="A473" s="2" t="s">
        <v>11</v>
      </c>
      <c r="B473" s="3">
        <v>45929</v>
      </c>
      <c r="C473" s="2" t="s">
        <v>298</v>
      </c>
      <c r="D473" s="2" t="s">
        <v>327</v>
      </c>
      <c r="E473" s="2" t="s">
        <v>465</v>
      </c>
      <c r="F473" s="2" t="s">
        <v>544</v>
      </c>
      <c r="G473" s="2" t="s">
        <v>549</v>
      </c>
      <c r="H473" s="2" t="s">
        <v>554</v>
      </c>
      <c r="I473" s="4">
        <v>1</v>
      </c>
      <c r="J473" s="5"/>
      <c r="K473" s="5"/>
    </row>
    <row r="474" spans="1:11" x14ac:dyDescent="0.3">
      <c r="A474" s="2" t="s">
        <v>11</v>
      </c>
      <c r="B474" s="3">
        <v>45929</v>
      </c>
      <c r="C474" s="2" t="s">
        <v>298</v>
      </c>
      <c r="D474" s="2" t="s">
        <v>327</v>
      </c>
      <c r="E474" s="2" t="s">
        <v>465</v>
      </c>
      <c r="F474" s="2" t="s">
        <v>544</v>
      </c>
      <c r="G474" s="2" t="s">
        <v>549</v>
      </c>
      <c r="H474" s="2" t="s">
        <v>553</v>
      </c>
      <c r="I474" s="4">
        <v>1</v>
      </c>
      <c r="J474" s="5">
        <v>518600</v>
      </c>
      <c r="K474" s="5">
        <f>ROUND(IF(ISNUMBER(J474), I474*J474, I474),5)</f>
        <v>518600</v>
      </c>
    </row>
    <row r="475" spans="1:11" x14ac:dyDescent="0.3">
      <c r="A475" s="2" t="s">
        <v>11</v>
      </c>
      <c r="B475" s="3">
        <v>45929</v>
      </c>
      <c r="C475" s="2" t="s">
        <v>298</v>
      </c>
      <c r="D475" s="2" t="s">
        <v>327</v>
      </c>
      <c r="E475" s="2" t="s">
        <v>465</v>
      </c>
      <c r="F475" s="2" t="s">
        <v>544</v>
      </c>
      <c r="G475" s="2" t="s">
        <v>549</v>
      </c>
      <c r="H475" s="2" t="s">
        <v>553</v>
      </c>
      <c r="I475" s="4">
        <v>1</v>
      </c>
      <c r="J475" s="5">
        <v>568520</v>
      </c>
      <c r="K475" s="5">
        <f>ROUND(IF(ISNUMBER(J475), I475*J475, I475),5)</f>
        <v>568520</v>
      </c>
    </row>
    <row r="476" spans="1:11" x14ac:dyDescent="0.3">
      <c r="A476" s="2" t="s">
        <v>11</v>
      </c>
      <c r="B476" s="3">
        <v>45929</v>
      </c>
      <c r="C476" s="2" t="s">
        <v>298</v>
      </c>
      <c r="D476" s="2" t="s">
        <v>327</v>
      </c>
      <c r="E476" s="2" t="s">
        <v>465</v>
      </c>
      <c r="F476" s="2" t="s">
        <v>544</v>
      </c>
      <c r="G476" s="2" t="s">
        <v>549</v>
      </c>
      <c r="H476" s="2" t="s">
        <v>553</v>
      </c>
      <c r="I476" s="4">
        <v>1</v>
      </c>
      <c r="J476" s="5">
        <v>568520</v>
      </c>
      <c r="K476" s="5">
        <f>ROUND(IF(ISNUMBER(J476), I476*J476, I476),5)</f>
        <v>568520</v>
      </c>
    </row>
    <row r="477" spans="1:11" x14ac:dyDescent="0.3">
      <c r="A477" s="2" t="s">
        <v>11</v>
      </c>
      <c r="B477" s="3">
        <v>45929</v>
      </c>
      <c r="C477" s="2" t="s">
        <v>299</v>
      </c>
      <c r="D477" s="2" t="s">
        <v>312</v>
      </c>
      <c r="E477" s="2" t="s">
        <v>522</v>
      </c>
      <c r="F477" s="2" t="s">
        <v>519</v>
      </c>
      <c r="G477" s="2" t="s">
        <v>548</v>
      </c>
      <c r="H477" s="2" t="s">
        <v>553</v>
      </c>
      <c r="I477" s="4">
        <v>1</v>
      </c>
      <c r="J477" s="5">
        <v>452000</v>
      </c>
      <c r="K477" s="5">
        <f>ROUND(IF(ISNUMBER(J477), I477*J477, I477),5)</f>
        <v>452000</v>
      </c>
    </row>
    <row r="478" spans="1:11" x14ac:dyDescent="0.3">
      <c r="A478" s="2" t="s">
        <v>11</v>
      </c>
      <c r="B478" s="3">
        <v>45929</v>
      </c>
      <c r="C478" s="2" t="s">
        <v>299</v>
      </c>
      <c r="D478" s="2" t="s">
        <v>312</v>
      </c>
      <c r="E478" s="2" t="s">
        <v>466</v>
      </c>
      <c r="F478" s="2" t="s">
        <v>540</v>
      </c>
      <c r="G478" s="2" t="s">
        <v>548</v>
      </c>
      <c r="H478" s="2" t="s">
        <v>553</v>
      </c>
      <c r="I478" s="4">
        <v>4</v>
      </c>
      <c r="J478" s="5">
        <v>62000</v>
      </c>
      <c r="K478" s="5">
        <f>ROUND(IF(ISNUMBER(J478), I478*J478, I478),5)</f>
        <v>248000</v>
      </c>
    </row>
    <row r="479" spans="1:11" x14ac:dyDescent="0.3">
      <c r="A479" s="2" t="s">
        <v>11</v>
      </c>
      <c r="B479" s="3">
        <v>45929</v>
      </c>
      <c r="C479" s="2" t="s">
        <v>299</v>
      </c>
      <c r="D479" s="2" t="s">
        <v>312</v>
      </c>
      <c r="E479" s="2" t="s">
        <v>468</v>
      </c>
      <c r="F479" s="2" t="s">
        <v>519</v>
      </c>
      <c r="G479" s="2" t="s">
        <v>548</v>
      </c>
      <c r="H479" s="2" t="s">
        <v>553</v>
      </c>
      <c r="I479" s="4">
        <v>1</v>
      </c>
      <c r="J479" s="5"/>
      <c r="K479" s="5"/>
    </row>
    <row r="480" spans="1:11" x14ac:dyDescent="0.3">
      <c r="A480" s="2" t="s">
        <v>11</v>
      </c>
      <c r="B480" s="3">
        <v>45931</v>
      </c>
      <c r="C480" s="2" t="s">
        <v>300</v>
      </c>
      <c r="D480" s="2" t="s">
        <v>437</v>
      </c>
      <c r="E480" s="2" t="s">
        <v>474</v>
      </c>
      <c r="F480" s="2" t="s">
        <v>542</v>
      </c>
      <c r="G480" s="2" t="s">
        <v>550</v>
      </c>
      <c r="H480" s="2" t="s">
        <v>554</v>
      </c>
      <c r="I480" s="4">
        <v>6</v>
      </c>
      <c r="J480" s="5">
        <v>6100</v>
      </c>
      <c r="K480" s="5">
        <f>ROUND(IF(ISNUMBER(J480), I480*J480, I480),5)</f>
        <v>36600</v>
      </c>
    </row>
    <row r="481" spans="1:11" x14ac:dyDescent="0.3">
      <c r="A481" s="2" t="s">
        <v>11</v>
      </c>
      <c r="B481" s="3">
        <v>45931</v>
      </c>
      <c r="C481" s="2" t="s">
        <v>300</v>
      </c>
      <c r="D481" s="2" t="s">
        <v>437</v>
      </c>
      <c r="E481" s="2" t="s">
        <v>452</v>
      </c>
      <c r="F481" s="2" t="s">
        <v>542</v>
      </c>
      <c r="G481" s="2" t="s">
        <v>550</v>
      </c>
      <c r="H481" s="2" t="s">
        <v>554</v>
      </c>
      <c r="I481" s="4">
        <v>6</v>
      </c>
      <c r="J481" s="5">
        <v>10600</v>
      </c>
      <c r="K481" s="5">
        <f>ROUND(IF(ISNUMBER(J481), I481*J481, I481),5)</f>
        <v>63600</v>
      </c>
    </row>
    <row r="482" spans="1:11" x14ac:dyDescent="0.3">
      <c r="A482" s="2" t="s">
        <v>11</v>
      </c>
      <c r="B482" s="3">
        <v>45932</v>
      </c>
      <c r="C482" s="2" t="s">
        <v>301</v>
      </c>
      <c r="D482" s="2" t="s">
        <v>438</v>
      </c>
      <c r="E482" s="2" t="s">
        <v>533</v>
      </c>
      <c r="F482" s="2" t="s">
        <v>519</v>
      </c>
      <c r="G482" s="2" t="s">
        <v>548</v>
      </c>
      <c r="H482" s="2" t="s">
        <v>554</v>
      </c>
      <c r="I482" s="4">
        <v>1</v>
      </c>
      <c r="J482" s="5">
        <v>1464763.35</v>
      </c>
      <c r="K482" s="5">
        <f>ROUND(IF(ISNUMBER(J482), I482*J482, I482),5)</f>
        <v>1464763.35</v>
      </c>
    </row>
    <row r="483" spans="1:11" x14ac:dyDescent="0.3">
      <c r="A483" s="2" t="s">
        <v>11</v>
      </c>
      <c r="B483" s="3">
        <v>45932</v>
      </c>
      <c r="C483" s="2" t="s">
        <v>301</v>
      </c>
      <c r="D483" s="2" t="s">
        <v>438</v>
      </c>
      <c r="E483" s="2" t="s">
        <v>536</v>
      </c>
      <c r="F483" s="2" t="s">
        <v>540</v>
      </c>
      <c r="G483" s="2" t="s">
        <v>548</v>
      </c>
      <c r="H483" s="2" t="s">
        <v>554</v>
      </c>
      <c r="I483" s="4">
        <v>6</v>
      </c>
      <c r="J483" s="5">
        <v>321387.75</v>
      </c>
      <c r="K483" s="5">
        <f>ROUND(IF(ISNUMBER(J483), I483*J483, I483),5)</f>
        <v>1928326.5</v>
      </c>
    </row>
    <row r="484" spans="1:11" x14ac:dyDescent="0.3">
      <c r="A484" s="2" t="s">
        <v>11</v>
      </c>
      <c r="B484" s="3">
        <v>45932</v>
      </c>
      <c r="C484" s="2" t="s">
        <v>301</v>
      </c>
      <c r="D484" s="2" t="s">
        <v>438</v>
      </c>
      <c r="E484" s="2" t="s">
        <v>532</v>
      </c>
      <c r="F484" s="2" t="s">
        <v>519</v>
      </c>
      <c r="G484" s="2" t="s">
        <v>548</v>
      </c>
      <c r="H484" s="2" t="s">
        <v>554</v>
      </c>
      <c r="I484" s="4">
        <v>1</v>
      </c>
      <c r="J484" s="5">
        <v>203107.5</v>
      </c>
      <c r="K484" s="5">
        <f>ROUND(IF(ISNUMBER(J484), I484*J484, I484),5)</f>
        <v>203107.5</v>
      </c>
    </row>
    <row r="485" spans="1:11" x14ac:dyDescent="0.3">
      <c r="A485" s="2" t="s">
        <v>11</v>
      </c>
      <c r="B485" s="3">
        <v>45932</v>
      </c>
      <c r="C485" s="2" t="s">
        <v>301</v>
      </c>
      <c r="D485" s="2" t="s">
        <v>438</v>
      </c>
      <c r="E485" s="2" t="s">
        <v>460</v>
      </c>
      <c r="F485" s="2" t="s">
        <v>519</v>
      </c>
      <c r="G485" s="2" t="s">
        <v>548</v>
      </c>
      <c r="H485" s="2" t="s">
        <v>554</v>
      </c>
      <c r="I485" s="4">
        <v>1</v>
      </c>
      <c r="J485" s="5"/>
      <c r="K485" s="5"/>
    </row>
    <row r="486" spans="1:11" x14ac:dyDescent="0.3">
      <c r="A486" s="2" t="s">
        <v>11</v>
      </c>
      <c r="B486" s="3">
        <v>45932</v>
      </c>
      <c r="C486" s="2" t="s">
        <v>302</v>
      </c>
      <c r="D486" s="2" t="s">
        <v>425</v>
      </c>
      <c r="E486" s="2" t="s">
        <v>537</v>
      </c>
      <c r="F486" s="2" t="s">
        <v>542</v>
      </c>
      <c r="G486" s="2" t="s">
        <v>550</v>
      </c>
      <c r="H486" s="2" t="s">
        <v>554</v>
      </c>
      <c r="I486" s="4">
        <v>10</v>
      </c>
      <c r="J486" s="5">
        <v>9200</v>
      </c>
      <c r="K486" s="5">
        <f>ROUND(IF(ISNUMBER(J486), I486*J486, I486),5)</f>
        <v>92000</v>
      </c>
    </row>
    <row r="487" spans="1:11" x14ac:dyDescent="0.3">
      <c r="A487" s="2" t="s">
        <v>11</v>
      </c>
      <c r="B487" s="3">
        <v>45934</v>
      </c>
      <c r="C487" s="2" t="s">
        <v>303</v>
      </c>
      <c r="D487" s="2" t="s">
        <v>313</v>
      </c>
      <c r="E487" s="2" t="s">
        <v>444</v>
      </c>
      <c r="F487" s="2" t="s">
        <v>519</v>
      </c>
      <c r="G487" s="2" t="s">
        <v>549</v>
      </c>
      <c r="H487" s="2" t="s">
        <v>553</v>
      </c>
      <c r="I487" s="4">
        <v>1</v>
      </c>
      <c r="J487" s="5">
        <v>130000</v>
      </c>
      <c r="K487" s="5">
        <f>ROUND(IF(ISNUMBER(J487), I487*J487, I487),5)</f>
        <v>130000</v>
      </c>
    </row>
    <row r="488" spans="1:11" x14ac:dyDescent="0.3">
      <c r="A488" s="2" t="s">
        <v>11</v>
      </c>
      <c r="B488" s="3">
        <v>45938</v>
      </c>
      <c r="C488" s="2" t="s">
        <v>304</v>
      </c>
      <c r="D488" s="2" t="s">
        <v>439</v>
      </c>
      <c r="E488" s="2" t="s">
        <v>500</v>
      </c>
      <c r="F488" s="2" t="s">
        <v>519</v>
      </c>
      <c r="G488" s="2" t="s">
        <v>551</v>
      </c>
      <c r="H488" s="2" t="s">
        <v>554</v>
      </c>
      <c r="I488" s="4">
        <v>1</v>
      </c>
      <c r="J488" s="5">
        <v>240720</v>
      </c>
      <c r="K488" s="5">
        <f>ROUND(IF(ISNUMBER(J488), I488*J488, I488),5)</f>
        <v>240720</v>
      </c>
    </row>
    <row r="489" spans="1:11" x14ac:dyDescent="0.3">
      <c r="A489" s="2" t="s">
        <v>11</v>
      </c>
      <c r="B489" s="3">
        <v>45938</v>
      </c>
      <c r="C489" s="2" t="s">
        <v>305</v>
      </c>
      <c r="D489" s="2" t="s">
        <v>440</v>
      </c>
      <c r="E489" s="2" t="s">
        <v>538</v>
      </c>
      <c r="F489" s="2" t="s">
        <v>545</v>
      </c>
      <c r="G489" s="2" t="s">
        <v>549</v>
      </c>
      <c r="H489" s="2" t="s">
        <v>554</v>
      </c>
      <c r="I489" s="4">
        <v>1</v>
      </c>
      <c r="J489" s="5">
        <v>14160</v>
      </c>
      <c r="K489" s="5">
        <f>ROUND(IF(ISNUMBER(J489), I489*J489, I489),5)</f>
        <v>14160</v>
      </c>
    </row>
    <row r="490" spans="1:11" x14ac:dyDescent="0.3">
      <c r="A490" s="2" t="s">
        <v>11</v>
      </c>
      <c r="B490" s="3">
        <v>45938</v>
      </c>
      <c r="C490" s="2" t="s">
        <v>305</v>
      </c>
      <c r="D490" s="2" t="s">
        <v>440</v>
      </c>
      <c r="E490" s="2" t="s">
        <v>539</v>
      </c>
      <c r="F490" s="2" t="s">
        <v>545</v>
      </c>
      <c r="G490" s="2" t="s">
        <v>549</v>
      </c>
      <c r="H490" s="2" t="s">
        <v>554</v>
      </c>
      <c r="I490" s="4">
        <v>1</v>
      </c>
      <c r="J490" s="5">
        <v>11328</v>
      </c>
      <c r="K490" s="5">
        <f>ROUND(IF(ISNUMBER(J490), I490*J490, I490),5)</f>
        <v>11328</v>
      </c>
    </row>
    <row r="491" spans="1:11" x14ac:dyDescent="0.3">
      <c r="A491" s="2" t="s">
        <v>11</v>
      </c>
      <c r="B491" s="3">
        <v>45938</v>
      </c>
      <c r="C491" s="2" t="s">
        <v>305</v>
      </c>
      <c r="D491" s="2" t="s">
        <v>440</v>
      </c>
      <c r="E491" s="2" t="s">
        <v>472</v>
      </c>
      <c r="F491" s="2" t="s">
        <v>544</v>
      </c>
      <c r="G491" s="2" t="s">
        <v>549</v>
      </c>
      <c r="H491" s="2" t="s">
        <v>554</v>
      </c>
      <c r="I491" s="4">
        <v>1</v>
      </c>
      <c r="J491" s="5">
        <v>5000</v>
      </c>
      <c r="K491" s="5">
        <f>ROUND(IF(ISNUMBER(J491), I491*J491, I491),5)</f>
        <v>5000</v>
      </c>
    </row>
    <row r="492" spans="1:11" x14ac:dyDescent="0.3">
      <c r="A492" s="2" t="s">
        <v>11</v>
      </c>
      <c r="B492" s="3">
        <v>45939</v>
      </c>
      <c r="C492" s="2" t="s">
        <v>306</v>
      </c>
      <c r="D492" s="2" t="s">
        <v>425</v>
      </c>
      <c r="E492" s="2" t="s">
        <v>537</v>
      </c>
      <c r="F492" s="2" t="s">
        <v>542</v>
      </c>
      <c r="G492" s="2" t="s">
        <v>550</v>
      </c>
      <c r="H492" s="2" t="s">
        <v>554</v>
      </c>
      <c r="I492" s="4">
        <v>20</v>
      </c>
      <c r="J492" s="5">
        <v>9200</v>
      </c>
      <c r="K492" s="5">
        <f>ROUND(IF(ISNUMBER(J492), I492*J492, I492),5)</f>
        <v>184000</v>
      </c>
    </row>
    <row r="493" spans="1:11" x14ac:dyDescent="0.3">
      <c r="A493" s="2" t="s">
        <v>11</v>
      </c>
      <c r="B493" s="3">
        <v>45939</v>
      </c>
      <c r="C493" s="2" t="s">
        <v>307</v>
      </c>
      <c r="D493" s="2" t="s">
        <v>416</v>
      </c>
      <c r="E493" s="2" t="s">
        <v>474</v>
      </c>
      <c r="F493" s="2" t="s">
        <v>542</v>
      </c>
      <c r="G493" s="2" t="s">
        <v>550</v>
      </c>
      <c r="H493" s="2" t="s">
        <v>554</v>
      </c>
      <c r="I493" s="4">
        <v>1</v>
      </c>
      <c r="J493" s="5">
        <v>6100</v>
      </c>
      <c r="K493" s="5">
        <f>ROUND(IF(ISNUMBER(J493), I493*J493, I493),5)</f>
        <v>6100</v>
      </c>
    </row>
    <row r="494" spans="1:11" x14ac:dyDescent="0.3">
      <c r="A494" s="2" t="s">
        <v>11</v>
      </c>
      <c r="B494" s="3">
        <v>45939</v>
      </c>
      <c r="C494" s="2" t="s">
        <v>308</v>
      </c>
      <c r="D494" s="2" t="s">
        <v>382</v>
      </c>
      <c r="E494" s="2" t="s">
        <v>487</v>
      </c>
      <c r="F494" s="2" t="s">
        <v>542</v>
      </c>
      <c r="G494" s="2" t="s">
        <v>550</v>
      </c>
      <c r="H494" s="2" t="s">
        <v>554</v>
      </c>
      <c r="I494" s="4">
        <v>1</v>
      </c>
      <c r="J494" s="5">
        <v>23750</v>
      </c>
      <c r="K494" s="5">
        <f>ROUND(IF(ISNUMBER(J494), I494*J494, I494),5)</f>
        <v>23750</v>
      </c>
    </row>
    <row r="495" spans="1:11" x14ac:dyDescent="0.3">
      <c r="A495" s="2" t="s">
        <v>11</v>
      </c>
      <c r="B495" s="3">
        <v>45939</v>
      </c>
      <c r="C495" s="2" t="s">
        <v>308</v>
      </c>
      <c r="D495" s="2" t="s">
        <v>382</v>
      </c>
      <c r="E495" s="2" t="s">
        <v>510</v>
      </c>
      <c r="F495" s="2" t="s">
        <v>542</v>
      </c>
      <c r="G495" s="2" t="s">
        <v>550</v>
      </c>
      <c r="H495" s="2" t="s">
        <v>554</v>
      </c>
      <c r="I495" s="4">
        <v>2</v>
      </c>
      <c r="J495" s="5">
        <v>26750</v>
      </c>
      <c r="K495" s="5">
        <f>ROUND(IF(ISNUMBER(J495), I495*J495, I495),5)</f>
        <v>53500</v>
      </c>
    </row>
    <row r="496" spans="1:11" x14ac:dyDescent="0.3">
      <c r="A496" s="2" t="s">
        <v>11</v>
      </c>
      <c r="B496" s="3">
        <v>45940</v>
      </c>
      <c r="C496" s="2" t="s">
        <v>309</v>
      </c>
      <c r="D496" s="2" t="s">
        <v>382</v>
      </c>
      <c r="E496" s="2" t="s">
        <v>480</v>
      </c>
      <c r="F496" s="2" t="s">
        <v>542</v>
      </c>
      <c r="G496" s="2" t="s">
        <v>550</v>
      </c>
      <c r="H496" s="2" t="s">
        <v>554</v>
      </c>
      <c r="I496" s="4">
        <v>2</v>
      </c>
      <c r="J496" s="5">
        <v>8200</v>
      </c>
      <c r="K496" s="5">
        <f>ROUND(IF(ISNUMBER(J496), I496*J496, I496),5)</f>
        <v>16400</v>
      </c>
    </row>
    <row r="497" spans="1:11" x14ac:dyDescent="0.3">
      <c r="A497" s="2" t="s">
        <v>11</v>
      </c>
      <c r="B497" s="3">
        <v>45940</v>
      </c>
      <c r="C497" s="2" t="s">
        <v>309</v>
      </c>
      <c r="D497" s="2" t="s">
        <v>382</v>
      </c>
      <c r="E497" s="2" t="s">
        <v>496</v>
      </c>
      <c r="F497" s="2" t="s">
        <v>545</v>
      </c>
      <c r="G497" s="2" t="s">
        <v>550</v>
      </c>
      <c r="H497" s="2" t="s">
        <v>554</v>
      </c>
      <c r="I497" s="4">
        <v>10</v>
      </c>
      <c r="J497" s="5">
        <v>350</v>
      </c>
      <c r="K497" s="5">
        <f>ROUND(IF(ISNUMBER(J497), I497*J497, I497),5)</f>
        <v>3500</v>
      </c>
    </row>
    <row r="498" spans="1:11" x14ac:dyDescent="0.3">
      <c r="A498" s="2" t="s">
        <v>11</v>
      </c>
      <c r="B498" s="3">
        <v>45940</v>
      </c>
      <c r="C498" s="2" t="s">
        <v>309</v>
      </c>
      <c r="D498" s="2" t="s">
        <v>382</v>
      </c>
      <c r="E498" s="2" t="s">
        <v>496</v>
      </c>
      <c r="F498" s="2" t="s">
        <v>545</v>
      </c>
      <c r="G498" s="2" t="s">
        <v>550</v>
      </c>
      <c r="H498" s="2" t="s">
        <v>554</v>
      </c>
      <c r="I498" s="4">
        <v>10</v>
      </c>
      <c r="J498" s="5">
        <v>600</v>
      </c>
      <c r="K498" s="5">
        <f>ROUND(IF(ISNUMBER(J498), I498*J498, I498),5)</f>
        <v>6000</v>
      </c>
    </row>
    <row r="499" spans="1:11" x14ac:dyDescent="0.3">
      <c r="A499" s="2" t="s">
        <v>11</v>
      </c>
      <c r="B499" s="3">
        <v>45943</v>
      </c>
      <c r="C499" s="2" t="s">
        <v>310</v>
      </c>
      <c r="D499" s="2" t="s">
        <v>374</v>
      </c>
      <c r="E499" s="2" t="s">
        <v>451</v>
      </c>
      <c r="F499" s="2" t="s">
        <v>540</v>
      </c>
      <c r="G499" s="2" t="s">
        <v>550</v>
      </c>
      <c r="H499" s="2" t="s">
        <v>554</v>
      </c>
      <c r="I499" s="4">
        <v>1</v>
      </c>
      <c r="J499" s="5">
        <v>132986</v>
      </c>
      <c r="K499" s="5">
        <f>ROUND(IF(ISNUMBER(J499), I499*J499, I499),5)</f>
        <v>132986</v>
      </c>
    </row>
    <row r="500" spans="1:11" x14ac:dyDescent="0.3">
      <c r="A500" s="2" t="s">
        <v>11</v>
      </c>
      <c r="B500" s="3">
        <v>45944</v>
      </c>
      <c r="C500" s="2" t="s">
        <v>311</v>
      </c>
      <c r="D500" s="2" t="s">
        <v>318</v>
      </c>
      <c r="E500" s="2" t="s">
        <v>457</v>
      </c>
      <c r="F500" s="2" t="s">
        <v>542</v>
      </c>
      <c r="G500" s="2" t="s">
        <v>550</v>
      </c>
      <c r="H500" s="2" t="s">
        <v>554</v>
      </c>
      <c r="I500" s="4">
        <v>1</v>
      </c>
      <c r="J500" s="5">
        <v>23750</v>
      </c>
      <c r="K500" s="5">
        <f>ROUND(IF(ISNUMBER(J500), I500*J500, I500),5)</f>
        <v>23750</v>
      </c>
    </row>
    <row r="501" spans="1:11" x14ac:dyDescent="0.3">
      <c r="A501" s="2" t="s">
        <v>11</v>
      </c>
      <c r="B501" s="3">
        <v>45944</v>
      </c>
      <c r="C501" s="2" t="s">
        <v>311</v>
      </c>
      <c r="D501" s="2" t="s">
        <v>318</v>
      </c>
      <c r="E501" s="2" t="s">
        <v>480</v>
      </c>
      <c r="F501" s="2" t="s">
        <v>542</v>
      </c>
      <c r="G501" s="2" t="s">
        <v>550</v>
      </c>
      <c r="H501" s="2" t="s">
        <v>554</v>
      </c>
      <c r="I501" s="4">
        <v>1</v>
      </c>
      <c r="J501" s="5">
        <v>8200</v>
      </c>
      <c r="K501" s="5">
        <f>ROUND(IF(ISNUMBER(J501), I501*J501, I501),5)</f>
        <v>8200</v>
      </c>
    </row>
    <row r="502" spans="1:11" x14ac:dyDescent="0.3">
      <c r="A502" s="2" t="s">
        <v>11</v>
      </c>
      <c r="B502" s="3">
        <v>45944</v>
      </c>
      <c r="C502" s="2" t="s">
        <v>555</v>
      </c>
      <c r="D502" s="2" t="s">
        <v>425</v>
      </c>
      <c r="E502" s="2" t="s">
        <v>537</v>
      </c>
      <c r="F502" s="2" t="s">
        <v>542</v>
      </c>
      <c r="G502" s="2" t="s">
        <v>550</v>
      </c>
      <c r="H502" s="2" t="s">
        <v>554</v>
      </c>
      <c r="I502" s="4">
        <v>10</v>
      </c>
      <c r="J502" s="5">
        <v>9200</v>
      </c>
      <c r="K502" s="5">
        <f>ROUND(IF(ISNUMBER(J502), I502*J502, I502),5)</f>
        <v>92000</v>
      </c>
    </row>
    <row r="503" spans="1:11" x14ac:dyDescent="0.3">
      <c r="A503" s="2" t="s">
        <v>11</v>
      </c>
      <c r="B503" s="3">
        <v>45944</v>
      </c>
      <c r="C503" s="2" t="s">
        <v>556</v>
      </c>
      <c r="D503" s="2" t="s">
        <v>338</v>
      </c>
      <c r="E503" s="2" t="s">
        <v>452</v>
      </c>
      <c r="F503" s="2" t="s">
        <v>542</v>
      </c>
      <c r="G503" s="2" t="s">
        <v>550</v>
      </c>
      <c r="H503" s="2" t="s">
        <v>554</v>
      </c>
      <c r="I503" s="4">
        <v>2</v>
      </c>
      <c r="J503" s="5">
        <v>10500</v>
      </c>
      <c r="K503" s="5">
        <f>ROUND(IF(ISNUMBER(J503), I503*J503, I503),5)</f>
        <v>21000</v>
      </c>
    </row>
    <row r="504" spans="1:11" x14ac:dyDescent="0.3">
      <c r="A504" s="2" t="s">
        <v>11</v>
      </c>
      <c r="B504" s="3">
        <v>45944</v>
      </c>
      <c r="C504" s="2" t="s">
        <v>557</v>
      </c>
      <c r="D504" s="2" t="s">
        <v>858</v>
      </c>
      <c r="E504" s="2" t="s">
        <v>487</v>
      </c>
      <c r="F504" s="2" t="s">
        <v>542</v>
      </c>
      <c r="G504" s="2" t="s">
        <v>550</v>
      </c>
      <c r="H504" s="2" t="s">
        <v>554</v>
      </c>
      <c r="I504" s="4">
        <v>1</v>
      </c>
      <c r="J504" s="5">
        <v>23800</v>
      </c>
      <c r="K504" s="5">
        <f>ROUND(IF(ISNUMBER(J504), I504*J504, I504),5)</f>
        <v>23800</v>
      </c>
    </row>
    <row r="505" spans="1:11" x14ac:dyDescent="0.3">
      <c r="A505" s="2" t="s">
        <v>11</v>
      </c>
      <c r="B505" s="3">
        <v>45944</v>
      </c>
      <c r="C505" s="2" t="s">
        <v>558</v>
      </c>
      <c r="D505" s="2" t="s">
        <v>326</v>
      </c>
      <c r="E505" s="2" t="s">
        <v>454</v>
      </c>
      <c r="F505" s="2" t="s">
        <v>543</v>
      </c>
      <c r="G505" s="2" t="s">
        <v>551</v>
      </c>
      <c r="H505" s="2" t="s">
        <v>553</v>
      </c>
      <c r="I505" s="4">
        <v>10</v>
      </c>
      <c r="J505" s="5">
        <v>21000</v>
      </c>
      <c r="K505" s="5">
        <f>ROUND(IF(ISNUMBER(J505), I505*J505, I505),5)</f>
        <v>210000</v>
      </c>
    </row>
    <row r="506" spans="1:11" x14ac:dyDescent="0.3">
      <c r="A506" s="2" t="s">
        <v>11</v>
      </c>
      <c r="B506" s="3">
        <v>45944</v>
      </c>
      <c r="C506" s="2" t="s">
        <v>559</v>
      </c>
      <c r="D506" s="2" t="s">
        <v>408</v>
      </c>
      <c r="E506" s="2" t="s">
        <v>454</v>
      </c>
      <c r="F506" s="2" t="s">
        <v>543</v>
      </c>
      <c r="G506" s="2" t="s">
        <v>548</v>
      </c>
      <c r="H506" s="2" t="s">
        <v>553</v>
      </c>
      <c r="I506" s="4">
        <v>4</v>
      </c>
      <c r="J506" s="5">
        <v>196000</v>
      </c>
      <c r="K506" s="5">
        <f>ROUND(IF(ISNUMBER(J506), I506*J506, I506),5)</f>
        <v>784000</v>
      </c>
    </row>
    <row r="507" spans="1:11" x14ac:dyDescent="0.3">
      <c r="A507" s="2" t="s">
        <v>11</v>
      </c>
      <c r="B507" s="3">
        <v>45945</v>
      </c>
      <c r="C507" s="2" t="s">
        <v>560</v>
      </c>
      <c r="D507" s="2" t="s">
        <v>403</v>
      </c>
      <c r="E507" s="2" t="s">
        <v>497</v>
      </c>
      <c r="F507" s="2" t="s">
        <v>519</v>
      </c>
      <c r="G507" s="2" t="s">
        <v>549</v>
      </c>
      <c r="H507" s="2" t="s">
        <v>553</v>
      </c>
      <c r="I507" s="4">
        <v>17</v>
      </c>
      <c r="J507" s="5">
        <v>30620</v>
      </c>
      <c r="K507" s="5">
        <f>ROUND(IF(ISNUMBER(J507), I507*J507, I507),5)</f>
        <v>520540</v>
      </c>
    </row>
    <row r="508" spans="1:11" x14ac:dyDescent="0.3">
      <c r="A508" s="2" t="s">
        <v>11</v>
      </c>
      <c r="B508" s="3">
        <v>45945</v>
      </c>
      <c r="C508" s="2" t="s">
        <v>561</v>
      </c>
      <c r="D508" s="2" t="s">
        <v>348</v>
      </c>
      <c r="E508" s="2" t="s">
        <v>446</v>
      </c>
      <c r="F508" s="2" t="s">
        <v>519</v>
      </c>
      <c r="G508" s="2" t="s">
        <v>551</v>
      </c>
      <c r="H508" s="2" t="s">
        <v>553</v>
      </c>
      <c r="I508" s="4">
        <v>1</v>
      </c>
      <c r="J508" s="5">
        <v>63000</v>
      </c>
      <c r="K508" s="5">
        <f>ROUND(IF(ISNUMBER(J508), I508*J508, I508),5)</f>
        <v>63000</v>
      </c>
    </row>
    <row r="509" spans="1:11" x14ac:dyDescent="0.3">
      <c r="A509" s="2" t="s">
        <v>11</v>
      </c>
      <c r="B509" s="3">
        <v>45945</v>
      </c>
      <c r="C509" s="2" t="s">
        <v>561</v>
      </c>
      <c r="D509" s="2" t="s">
        <v>348</v>
      </c>
      <c r="E509" s="2" t="s">
        <v>442</v>
      </c>
      <c r="F509" s="2" t="s">
        <v>540</v>
      </c>
      <c r="G509" s="2" t="s">
        <v>551</v>
      </c>
      <c r="H509" s="2" t="s">
        <v>553</v>
      </c>
      <c r="I509" s="4">
        <v>2</v>
      </c>
      <c r="J509" s="5">
        <v>42000</v>
      </c>
      <c r="K509" s="5">
        <f>ROUND(IF(ISNUMBER(J509), I509*J509, I509),5)</f>
        <v>84000</v>
      </c>
    </row>
    <row r="510" spans="1:11" x14ac:dyDescent="0.3">
      <c r="A510" s="2" t="s">
        <v>11</v>
      </c>
      <c r="B510" s="3">
        <v>45947</v>
      </c>
      <c r="C510" s="2" t="s">
        <v>562</v>
      </c>
      <c r="D510" s="2" t="s">
        <v>335</v>
      </c>
      <c r="E510" s="2" t="s">
        <v>472</v>
      </c>
      <c r="F510" s="2" t="s">
        <v>544</v>
      </c>
      <c r="G510" s="2" t="s">
        <v>549</v>
      </c>
      <c r="H510" s="2" t="s">
        <v>553</v>
      </c>
      <c r="I510" s="4">
        <v>1</v>
      </c>
      <c r="J510" s="5">
        <v>6804.88</v>
      </c>
      <c r="K510" s="5">
        <f>ROUND(IF(ISNUMBER(J510), I510*J510, I510),5)</f>
        <v>6804.88</v>
      </c>
    </row>
    <row r="511" spans="1:11" x14ac:dyDescent="0.3">
      <c r="A511" s="2" t="s">
        <v>11</v>
      </c>
      <c r="B511" s="3">
        <v>45947</v>
      </c>
      <c r="C511" s="2" t="s">
        <v>563</v>
      </c>
      <c r="D511" s="2" t="s">
        <v>335</v>
      </c>
      <c r="E511" s="2" t="s">
        <v>473</v>
      </c>
      <c r="F511" s="2" t="s">
        <v>544</v>
      </c>
      <c r="G511" s="2" t="s">
        <v>549</v>
      </c>
      <c r="H511" s="2" t="s">
        <v>553</v>
      </c>
      <c r="I511" s="4">
        <v>1</v>
      </c>
      <c r="J511" s="4">
        <v>18672.062000000002</v>
      </c>
      <c r="K511" s="5">
        <f>ROUND(IF(ISNUMBER(J511), I511*J511, I511),5)</f>
        <v>18672.062000000002</v>
      </c>
    </row>
    <row r="512" spans="1:11" x14ac:dyDescent="0.3">
      <c r="A512" s="2" t="s">
        <v>11</v>
      </c>
      <c r="B512" s="3">
        <v>45947</v>
      </c>
      <c r="C512" s="2" t="s">
        <v>564</v>
      </c>
      <c r="D512" s="2" t="s">
        <v>334</v>
      </c>
      <c r="E512" s="2" t="s">
        <v>471</v>
      </c>
      <c r="F512" s="2" t="s">
        <v>544</v>
      </c>
      <c r="G512" s="2" t="s">
        <v>549</v>
      </c>
      <c r="H512" s="2" t="s">
        <v>553</v>
      </c>
      <c r="I512" s="4">
        <v>1</v>
      </c>
      <c r="J512" s="5">
        <v>3062.5</v>
      </c>
      <c r="K512" s="5">
        <f>ROUND(IF(ISNUMBER(J512), I512*J512, I512),5)</f>
        <v>3062.5</v>
      </c>
    </row>
    <row r="513" spans="1:11" x14ac:dyDescent="0.3">
      <c r="A513" s="2" t="s">
        <v>11</v>
      </c>
      <c r="B513" s="3">
        <v>45947</v>
      </c>
      <c r="C513" s="2" t="s">
        <v>565</v>
      </c>
      <c r="D513" s="2" t="s">
        <v>336</v>
      </c>
      <c r="E513" s="2" t="s">
        <v>473</v>
      </c>
      <c r="F513" s="2" t="s">
        <v>544</v>
      </c>
      <c r="G513" s="2" t="s">
        <v>549</v>
      </c>
      <c r="H513" s="2" t="s">
        <v>553</v>
      </c>
      <c r="I513" s="4">
        <v>1</v>
      </c>
      <c r="J513" s="5">
        <v>15312.5</v>
      </c>
      <c r="K513" s="5">
        <f>ROUND(IF(ISNUMBER(J513), I513*J513, I513),5)</f>
        <v>15312.5</v>
      </c>
    </row>
    <row r="514" spans="1:11" x14ac:dyDescent="0.3">
      <c r="A514" s="2" t="s">
        <v>11</v>
      </c>
      <c r="B514" s="3">
        <v>45950</v>
      </c>
      <c r="C514" s="2" t="s">
        <v>566</v>
      </c>
      <c r="D514" s="2" t="s">
        <v>859</v>
      </c>
      <c r="E514" s="2" t="s">
        <v>472</v>
      </c>
      <c r="F514" s="2" t="s">
        <v>544</v>
      </c>
      <c r="G514" s="2" t="s">
        <v>548</v>
      </c>
      <c r="H514" s="2" t="s">
        <v>554</v>
      </c>
      <c r="I514" s="4">
        <v>1</v>
      </c>
      <c r="J514" s="5">
        <v>17700</v>
      </c>
      <c r="K514" s="5">
        <f>ROUND(IF(ISNUMBER(J514), I514*J514, I514),5)</f>
        <v>17700</v>
      </c>
    </row>
    <row r="515" spans="1:11" x14ac:dyDescent="0.3">
      <c r="A515" s="2" t="s">
        <v>12</v>
      </c>
      <c r="B515" s="3">
        <v>45951</v>
      </c>
      <c r="C515" s="2" t="s">
        <v>567</v>
      </c>
      <c r="D515" s="2" t="s">
        <v>392</v>
      </c>
      <c r="E515" s="2" t="s">
        <v>454</v>
      </c>
      <c r="F515" s="2" t="s">
        <v>543</v>
      </c>
      <c r="G515" s="2"/>
      <c r="H515" s="2" t="s">
        <v>554</v>
      </c>
      <c r="I515" s="4">
        <v>-1</v>
      </c>
      <c r="J515" s="5">
        <v>1500</v>
      </c>
      <c r="K515" s="5">
        <f>ROUND(IF(ISNUMBER(J515), I515*J515, I515),5)</f>
        <v>-1500</v>
      </c>
    </row>
    <row r="516" spans="1:11" x14ac:dyDescent="0.3">
      <c r="A516" s="2" t="s">
        <v>11</v>
      </c>
      <c r="B516" s="3">
        <v>45951</v>
      </c>
      <c r="C516" s="2" t="s">
        <v>568</v>
      </c>
      <c r="D516" s="2" t="s">
        <v>328</v>
      </c>
      <c r="E516" s="2" t="s">
        <v>454</v>
      </c>
      <c r="F516" s="2" t="s">
        <v>543</v>
      </c>
      <c r="G516" s="2" t="s">
        <v>552</v>
      </c>
      <c r="H516" s="2" t="s">
        <v>554</v>
      </c>
      <c r="I516" s="4">
        <v>1</v>
      </c>
      <c r="J516" s="5">
        <v>2000</v>
      </c>
      <c r="K516" s="5">
        <f>ROUND(IF(ISNUMBER(J516), I516*J516, I516),5)</f>
        <v>2000</v>
      </c>
    </row>
    <row r="517" spans="1:11" x14ac:dyDescent="0.3">
      <c r="A517" s="2" t="s">
        <v>11</v>
      </c>
      <c r="B517" s="3">
        <v>45951</v>
      </c>
      <c r="C517" s="2" t="s">
        <v>569</v>
      </c>
      <c r="D517" s="2" t="s">
        <v>328</v>
      </c>
      <c r="E517" s="2" t="s">
        <v>454</v>
      </c>
      <c r="F517" s="2" t="s">
        <v>543</v>
      </c>
      <c r="G517" s="2" t="s">
        <v>552</v>
      </c>
      <c r="H517" s="2" t="s">
        <v>554</v>
      </c>
      <c r="I517" s="4">
        <v>1</v>
      </c>
      <c r="J517" s="5">
        <v>2000</v>
      </c>
      <c r="K517" s="5">
        <f>ROUND(IF(ISNUMBER(J517), I517*J517, I517),5)</f>
        <v>2000</v>
      </c>
    </row>
    <row r="518" spans="1:11" x14ac:dyDescent="0.3">
      <c r="A518" s="2" t="s">
        <v>11</v>
      </c>
      <c r="B518" s="3">
        <v>45951</v>
      </c>
      <c r="C518" s="2" t="s">
        <v>570</v>
      </c>
      <c r="D518" s="2" t="s">
        <v>402</v>
      </c>
      <c r="E518" s="2" t="s">
        <v>454</v>
      </c>
      <c r="F518" s="2" t="s">
        <v>543</v>
      </c>
      <c r="G518" s="2" t="s">
        <v>552</v>
      </c>
      <c r="H518" s="2" t="s">
        <v>554</v>
      </c>
      <c r="I518" s="4">
        <v>1</v>
      </c>
      <c r="J518" s="5">
        <v>12500</v>
      </c>
      <c r="K518" s="5">
        <f>ROUND(IF(ISNUMBER(J518), I518*J518, I518),5)</f>
        <v>12500</v>
      </c>
    </row>
    <row r="519" spans="1:11" x14ac:dyDescent="0.3">
      <c r="A519" s="2" t="s">
        <v>11</v>
      </c>
      <c r="B519" s="3">
        <v>45951</v>
      </c>
      <c r="C519" s="2" t="s">
        <v>571</v>
      </c>
      <c r="D519" s="2" t="s">
        <v>417</v>
      </c>
      <c r="E519" s="2" t="s">
        <v>511</v>
      </c>
      <c r="F519" s="2" t="s">
        <v>542</v>
      </c>
      <c r="G519" s="2" t="s">
        <v>551</v>
      </c>
      <c r="H519" s="2" t="s">
        <v>553</v>
      </c>
      <c r="I519" s="4">
        <v>1</v>
      </c>
      <c r="J519" s="5">
        <v>18700</v>
      </c>
      <c r="K519" s="5">
        <f>ROUND(IF(ISNUMBER(J519), I519*J519, I519),5)</f>
        <v>18700</v>
      </c>
    </row>
    <row r="520" spans="1:11" x14ac:dyDescent="0.3">
      <c r="A520" s="2" t="s">
        <v>11</v>
      </c>
      <c r="B520" s="3">
        <v>45951</v>
      </c>
      <c r="C520" s="2" t="s">
        <v>571</v>
      </c>
      <c r="D520" s="2" t="s">
        <v>417</v>
      </c>
      <c r="E520" s="2" t="s">
        <v>479</v>
      </c>
      <c r="F520" s="2" t="s">
        <v>542</v>
      </c>
      <c r="G520" s="2" t="s">
        <v>551</v>
      </c>
      <c r="H520" s="2" t="s">
        <v>553</v>
      </c>
      <c r="I520" s="4">
        <v>1</v>
      </c>
      <c r="J520" s="5">
        <v>16500</v>
      </c>
      <c r="K520" s="5">
        <f>ROUND(IF(ISNUMBER(J520), I520*J520, I520),5)</f>
        <v>16500</v>
      </c>
    </row>
    <row r="521" spans="1:11" x14ac:dyDescent="0.3">
      <c r="A521" s="2" t="s">
        <v>11</v>
      </c>
      <c r="B521" s="3">
        <v>45953</v>
      </c>
      <c r="C521" s="2" t="s">
        <v>572</v>
      </c>
      <c r="D521" s="2" t="s">
        <v>348</v>
      </c>
      <c r="E521" s="2" t="s">
        <v>534</v>
      </c>
      <c r="F521" s="2" t="s">
        <v>519</v>
      </c>
      <c r="G521" s="2" t="s">
        <v>551</v>
      </c>
      <c r="H521" s="2" t="s">
        <v>553</v>
      </c>
      <c r="I521" s="4">
        <v>1</v>
      </c>
      <c r="J521" s="5">
        <v>250000</v>
      </c>
      <c r="K521" s="5">
        <f>ROUND(IF(ISNUMBER(J521), I521*J521, I521),5)</f>
        <v>250000</v>
      </c>
    </row>
    <row r="522" spans="1:11" x14ac:dyDescent="0.3">
      <c r="A522" s="2" t="s">
        <v>11</v>
      </c>
      <c r="B522" s="3">
        <v>45953</v>
      </c>
      <c r="C522" s="2" t="s">
        <v>572</v>
      </c>
      <c r="D522" s="2" t="s">
        <v>348</v>
      </c>
      <c r="E522" s="2" t="s">
        <v>442</v>
      </c>
      <c r="F522" s="2" t="s">
        <v>540</v>
      </c>
      <c r="G522" s="2" t="s">
        <v>551</v>
      </c>
      <c r="H522" s="2" t="s">
        <v>553</v>
      </c>
      <c r="I522" s="4">
        <v>5</v>
      </c>
      <c r="J522" s="5">
        <v>41000</v>
      </c>
      <c r="K522" s="5">
        <f>ROUND(IF(ISNUMBER(J522), I522*J522, I522),5)</f>
        <v>205000</v>
      </c>
    </row>
    <row r="523" spans="1:11" x14ac:dyDescent="0.3">
      <c r="A523" s="2" t="s">
        <v>11</v>
      </c>
      <c r="B523" s="3">
        <v>45953</v>
      </c>
      <c r="C523" s="2" t="s">
        <v>572</v>
      </c>
      <c r="D523" s="2" t="s">
        <v>348</v>
      </c>
      <c r="E523" s="2" t="s">
        <v>534</v>
      </c>
      <c r="F523" s="2" t="s">
        <v>519</v>
      </c>
      <c r="G523" s="2" t="s">
        <v>551</v>
      </c>
      <c r="H523" s="2" t="s">
        <v>553</v>
      </c>
      <c r="I523" s="4">
        <v>1</v>
      </c>
      <c r="J523" s="5">
        <v>250000</v>
      </c>
      <c r="K523" s="5">
        <f>ROUND(IF(ISNUMBER(J523), I523*J523, I523),5)</f>
        <v>250000</v>
      </c>
    </row>
    <row r="524" spans="1:11" x14ac:dyDescent="0.3">
      <c r="A524" s="2" t="s">
        <v>11</v>
      </c>
      <c r="B524" s="3">
        <v>45953</v>
      </c>
      <c r="C524" s="2" t="s">
        <v>572</v>
      </c>
      <c r="D524" s="2" t="s">
        <v>348</v>
      </c>
      <c r="E524" s="2" t="s">
        <v>442</v>
      </c>
      <c r="F524" s="2" t="s">
        <v>540</v>
      </c>
      <c r="G524" s="2" t="s">
        <v>551</v>
      </c>
      <c r="H524" s="2" t="s">
        <v>553</v>
      </c>
      <c r="I524" s="4">
        <v>5</v>
      </c>
      <c r="J524" s="5">
        <v>41000</v>
      </c>
      <c r="K524" s="5">
        <f>ROUND(IF(ISNUMBER(J524), I524*J524, I524),5)</f>
        <v>205000</v>
      </c>
    </row>
    <row r="525" spans="1:11" x14ac:dyDescent="0.3">
      <c r="A525" s="2" t="s">
        <v>11</v>
      </c>
      <c r="B525" s="3">
        <v>45953</v>
      </c>
      <c r="C525" s="2" t="s">
        <v>573</v>
      </c>
      <c r="D525" s="2" t="s">
        <v>396</v>
      </c>
      <c r="E525" s="2" t="s">
        <v>511</v>
      </c>
      <c r="F525" s="2" t="s">
        <v>542</v>
      </c>
      <c r="G525" s="2" t="s">
        <v>550</v>
      </c>
      <c r="H525" s="2" t="s">
        <v>554</v>
      </c>
      <c r="I525" s="4">
        <v>9</v>
      </c>
      <c r="J525" s="5">
        <v>20000</v>
      </c>
      <c r="K525" s="5">
        <f>ROUND(IF(ISNUMBER(J525), I525*J525, I525),5)</f>
        <v>180000</v>
      </c>
    </row>
    <row r="526" spans="1:11" x14ac:dyDescent="0.3">
      <c r="A526" s="2" t="s">
        <v>11</v>
      </c>
      <c r="B526" s="3">
        <v>45953</v>
      </c>
      <c r="C526" s="2" t="s">
        <v>573</v>
      </c>
      <c r="D526" s="2" t="s">
        <v>396</v>
      </c>
      <c r="E526" s="2" t="s">
        <v>511</v>
      </c>
      <c r="F526" s="2" t="s">
        <v>542</v>
      </c>
      <c r="G526" s="2" t="s">
        <v>550</v>
      </c>
      <c r="H526" s="2" t="s">
        <v>554</v>
      </c>
      <c r="I526" s="4">
        <v>1</v>
      </c>
      <c r="J526" s="5">
        <v>21000</v>
      </c>
      <c r="K526" s="5">
        <f>ROUND(IF(ISNUMBER(J526), I526*J526, I526),5)</f>
        <v>21000</v>
      </c>
    </row>
    <row r="527" spans="1:11" x14ac:dyDescent="0.3">
      <c r="A527" s="2" t="s">
        <v>11</v>
      </c>
      <c r="B527" s="3">
        <v>45954</v>
      </c>
      <c r="C527" s="2" t="s">
        <v>574</v>
      </c>
      <c r="D527" s="2" t="s">
        <v>858</v>
      </c>
      <c r="E527" s="2" t="s">
        <v>480</v>
      </c>
      <c r="F527" s="2" t="s">
        <v>542</v>
      </c>
      <c r="G527" s="2" t="s">
        <v>550</v>
      </c>
      <c r="H527" s="2" t="s">
        <v>554</v>
      </c>
      <c r="I527" s="4">
        <v>1</v>
      </c>
      <c r="J527" s="5">
        <v>8200</v>
      </c>
      <c r="K527" s="5">
        <f>ROUND(IF(ISNUMBER(J527), I527*J527, I527),5)</f>
        <v>8200</v>
      </c>
    </row>
    <row r="528" spans="1:11" x14ac:dyDescent="0.3">
      <c r="A528" s="2" t="s">
        <v>11</v>
      </c>
      <c r="B528" s="3">
        <v>45954</v>
      </c>
      <c r="C528" s="2" t="s">
        <v>575</v>
      </c>
      <c r="D528" s="2" t="s">
        <v>348</v>
      </c>
      <c r="E528" s="2" t="s">
        <v>500</v>
      </c>
      <c r="F528" s="2" t="s">
        <v>519</v>
      </c>
      <c r="G528" s="2" t="s">
        <v>551</v>
      </c>
      <c r="H528" s="2" t="s">
        <v>553</v>
      </c>
      <c r="I528" s="4">
        <v>1</v>
      </c>
      <c r="J528" s="5">
        <v>210000</v>
      </c>
      <c r="K528" s="5">
        <f>ROUND(IF(ISNUMBER(J528), I528*J528, I528),5)</f>
        <v>210000</v>
      </c>
    </row>
    <row r="529" spans="1:11" x14ac:dyDescent="0.3">
      <c r="A529" s="2" t="s">
        <v>11</v>
      </c>
      <c r="B529" s="3">
        <v>45954</v>
      </c>
      <c r="C529" s="2" t="s">
        <v>575</v>
      </c>
      <c r="D529" s="2" t="s">
        <v>348</v>
      </c>
      <c r="E529" s="2" t="s">
        <v>482</v>
      </c>
      <c r="F529" s="2" t="s">
        <v>540</v>
      </c>
      <c r="G529" s="2" t="s">
        <v>551</v>
      </c>
      <c r="H529" s="2" t="s">
        <v>553</v>
      </c>
      <c r="I529" s="4">
        <v>3</v>
      </c>
      <c r="J529" s="5">
        <v>118000</v>
      </c>
      <c r="K529" s="5">
        <f>ROUND(IF(ISNUMBER(J529), I529*J529, I529),5)</f>
        <v>354000</v>
      </c>
    </row>
    <row r="530" spans="1:11" x14ac:dyDescent="0.3">
      <c r="A530" s="2" t="s">
        <v>11</v>
      </c>
      <c r="B530" s="3">
        <v>45954</v>
      </c>
      <c r="C530" s="2" t="s">
        <v>575</v>
      </c>
      <c r="D530" s="2" t="s">
        <v>348</v>
      </c>
      <c r="E530" s="2" t="s">
        <v>909</v>
      </c>
      <c r="F530" s="2" t="s">
        <v>540</v>
      </c>
      <c r="G530" s="2" t="s">
        <v>551</v>
      </c>
      <c r="H530" s="2" t="s">
        <v>553</v>
      </c>
      <c r="I530" s="4">
        <v>2</v>
      </c>
      <c r="J530" s="5">
        <v>60500</v>
      </c>
      <c r="K530" s="5">
        <f>ROUND(IF(ISNUMBER(J530), I530*J530, I530),5)</f>
        <v>121000</v>
      </c>
    </row>
    <row r="531" spans="1:11" x14ac:dyDescent="0.3">
      <c r="A531" s="2" t="s">
        <v>11</v>
      </c>
      <c r="B531" s="3">
        <v>45954</v>
      </c>
      <c r="C531" s="2" t="s">
        <v>576</v>
      </c>
      <c r="D531" s="2" t="s">
        <v>396</v>
      </c>
      <c r="E531" s="2" t="s">
        <v>511</v>
      </c>
      <c r="F531" s="2" t="s">
        <v>542</v>
      </c>
      <c r="G531" s="2" t="s">
        <v>550</v>
      </c>
      <c r="H531" s="2" t="s">
        <v>554</v>
      </c>
      <c r="I531" s="4">
        <v>2</v>
      </c>
      <c r="J531" s="5">
        <v>20000</v>
      </c>
      <c r="K531" s="5">
        <f>ROUND(IF(ISNUMBER(J531), I531*J531, I531),5)</f>
        <v>40000</v>
      </c>
    </row>
    <row r="532" spans="1:11" x14ac:dyDescent="0.3">
      <c r="A532" s="2" t="s">
        <v>12</v>
      </c>
      <c r="B532" s="3">
        <v>45957</v>
      </c>
      <c r="C532" s="2" t="s">
        <v>577</v>
      </c>
      <c r="D532" s="2" t="s">
        <v>330</v>
      </c>
      <c r="E532" s="2" t="s">
        <v>505</v>
      </c>
      <c r="F532" s="2" t="s">
        <v>519</v>
      </c>
      <c r="G532" s="2"/>
      <c r="H532" s="2" t="s">
        <v>553</v>
      </c>
      <c r="I532" s="4">
        <v>-1</v>
      </c>
      <c r="J532" s="5">
        <v>795000</v>
      </c>
      <c r="K532" s="5">
        <f>ROUND(IF(ISNUMBER(J532), I532*J532, I532),5)</f>
        <v>-795000</v>
      </c>
    </row>
    <row r="533" spans="1:11" x14ac:dyDescent="0.3">
      <c r="A533" s="2" t="s">
        <v>12</v>
      </c>
      <c r="B533" s="3">
        <v>45957</v>
      </c>
      <c r="C533" s="2" t="s">
        <v>577</v>
      </c>
      <c r="D533" s="2" t="s">
        <v>330</v>
      </c>
      <c r="E533" s="2" t="s">
        <v>451</v>
      </c>
      <c r="F533" s="2" t="s">
        <v>540</v>
      </c>
      <c r="G533" s="2"/>
      <c r="H533" s="2" t="s">
        <v>553</v>
      </c>
      <c r="I533" s="4">
        <v>-3</v>
      </c>
      <c r="J533" s="5">
        <v>0</v>
      </c>
      <c r="K533" s="5">
        <f>ROUND(IF(ISNUMBER(J533), I533*J533, I533),5)</f>
        <v>0</v>
      </c>
    </row>
    <row r="534" spans="1:11" x14ac:dyDescent="0.3">
      <c r="A534" s="2" t="s">
        <v>11</v>
      </c>
      <c r="B534" s="3">
        <v>45957</v>
      </c>
      <c r="C534" s="2" t="s">
        <v>578</v>
      </c>
      <c r="D534" s="2" t="s">
        <v>860</v>
      </c>
      <c r="E534" s="2" t="s">
        <v>472</v>
      </c>
      <c r="F534" s="2" t="s">
        <v>544</v>
      </c>
      <c r="G534" s="2" t="s">
        <v>551</v>
      </c>
      <c r="H534" s="2" t="s">
        <v>554</v>
      </c>
      <c r="I534" s="4">
        <v>1</v>
      </c>
      <c r="J534" s="5">
        <v>5900</v>
      </c>
      <c r="K534" s="5">
        <f>ROUND(IF(ISNUMBER(J534), I534*J534, I534),5)</f>
        <v>5900</v>
      </c>
    </row>
    <row r="535" spans="1:11" x14ac:dyDescent="0.3">
      <c r="A535" s="2" t="s">
        <v>11</v>
      </c>
      <c r="B535" s="3">
        <v>45957</v>
      </c>
      <c r="C535" s="2" t="s">
        <v>579</v>
      </c>
      <c r="D535" s="2" t="s">
        <v>372</v>
      </c>
      <c r="E535" s="2" t="s">
        <v>459</v>
      </c>
      <c r="F535" s="2" t="s">
        <v>519</v>
      </c>
      <c r="G535" s="2" t="s">
        <v>548</v>
      </c>
      <c r="H535" s="2" t="s">
        <v>553</v>
      </c>
      <c r="I535" s="4">
        <v>1</v>
      </c>
      <c r="J535" s="5">
        <v>552825</v>
      </c>
      <c r="K535" s="5">
        <f>ROUND(IF(ISNUMBER(J535), I535*J535, I535),5)</f>
        <v>552825</v>
      </c>
    </row>
    <row r="536" spans="1:11" x14ac:dyDescent="0.3">
      <c r="A536" s="2" t="s">
        <v>11</v>
      </c>
      <c r="B536" s="3">
        <v>45957</v>
      </c>
      <c r="C536" s="2" t="s">
        <v>579</v>
      </c>
      <c r="D536" s="2" t="s">
        <v>372</v>
      </c>
      <c r="E536" s="2" t="s">
        <v>451</v>
      </c>
      <c r="F536" s="2" t="s">
        <v>540</v>
      </c>
      <c r="G536" s="2" t="s">
        <v>548</v>
      </c>
      <c r="H536" s="2" t="s">
        <v>553</v>
      </c>
      <c r="I536" s="4">
        <v>4</v>
      </c>
      <c r="J536" s="5">
        <v>121500</v>
      </c>
      <c r="K536" s="5">
        <f>ROUND(IF(ISNUMBER(J536), I536*J536, I536),5)</f>
        <v>486000</v>
      </c>
    </row>
    <row r="537" spans="1:11" x14ac:dyDescent="0.3">
      <c r="A537" s="2" t="s">
        <v>11</v>
      </c>
      <c r="B537" s="3">
        <v>45957</v>
      </c>
      <c r="C537" s="2" t="s">
        <v>580</v>
      </c>
      <c r="D537" s="2" t="s">
        <v>312</v>
      </c>
      <c r="E537" s="2" t="s">
        <v>459</v>
      </c>
      <c r="F537" s="2" t="s">
        <v>519</v>
      </c>
      <c r="G537" s="2" t="s">
        <v>548</v>
      </c>
      <c r="H537" s="2" t="s">
        <v>553</v>
      </c>
      <c r="I537" s="4">
        <v>1</v>
      </c>
      <c r="J537" s="5">
        <v>902000</v>
      </c>
      <c r="K537" s="5">
        <f>ROUND(IF(ISNUMBER(J537), I537*J537, I537),5)</f>
        <v>902000</v>
      </c>
    </row>
    <row r="538" spans="1:11" x14ac:dyDescent="0.3">
      <c r="A538" s="2" t="s">
        <v>11</v>
      </c>
      <c r="B538" s="3">
        <v>45957</v>
      </c>
      <c r="C538" s="2" t="s">
        <v>580</v>
      </c>
      <c r="D538" s="2" t="s">
        <v>312</v>
      </c>
      <c r="E538" s="2" t="s">
        <v>910</v>
      </c>
      <c r="F538" s="2" t="s">
        <v>540</v>
      </c>
      <c r="G538" s="2" t="s">
        <v>548</v>
      </c>
      <c r="H538" s="2" t="s">
        <v>553</v>
      </c>
      <c r="I538" s="4">
        <v>5</v>
      </c>
      <c r="J538" s="5">
        <v>72000</v>
      </c>
      <c r="K538" s="5">
        <f>ROUND(IF(ISNUMBER(J538), I538*J538, I538),5)</f>
        <v>360000</v>
      </c>
    </row>
    <row r="539" spans="1:11" x14ac:dyDescent="0.3">
      <c r="A539" s="2" t="s">
        <v>11</v>
      </c>
      <c r="B539" s="3">
        <v>45957</v>
      </c>
      <c r="C539" s="2" t="s">
        <v>580</v>
      </c>
      <c r="D539" s="2" t="s">
        <v>312</v>
      </c>
      <c r="E539" s="2" t="s">
        <v>459</v>
      </c>
      <c r="F539" s="2" t="s">
        <v>519</v>
      </c>
      <c r="G539" s="2" t="s">
        <v>548</v>
      </c>
      <c r="H539" s="2" t="s">
        <v>553</v>
      </c>
      <c r="I539" s="4">
        <v>1</v>
      </c>
      <c r="J539" s="5">
        <v>902000</v>
      </c>
      <c r="K539" s="5">
        <f>ROUND(IF(ISNUMBER(J539), I539*J539, I539),5)</f>
        <v>902000</v>
      </c>
    </row>
    <row r="540" spans="1:11" x14ac:dyDescent="0.3">
      <c r="A540" s="2" t="s">
        <v>11</v>
      </c>
      <c r="B540" s="3">
        <v>45957</v>
      </c>
      <c r="C540" s="2" t="s">
        <v>580</v>
      </c>
      <c r="D540" s="2" t="s">
        <v>312</v>
      </c>
      <c r="E540" s="2" t="s">
        <v>910</v>
      </c>
      <c r="F540" s="2" t="s">
        <v>540</v>
      </c>
      <c r="G540" s="2" t="s">
        <v>548</v>
      </c>
      <c r="H540" s="2" t="s">
        <v>553</v>
      </c>
      <c r="I540" s="4">
        <v>5</v>
      </c>
      <c r="J540" s="5">
        <v>72000</v>
      </c>
      <c r="K540" s="5">
        <f>ROUND(IF(ISNUMBER(J540), I540*J540, I540),5)</f>
        <v>360000</v>
      </c>
    </row>
    <row r="541" spans="1:11" x14ac:dyDescent="0.3">
      <c r="A541" s="2" t="s">
        <v>11</v>
      </c>
      <c r="B541" s="3">
        <v>45957</v>
      </c>
      <c r="C541" s="2" t="s">
        <v>580</v>
      </c>
      <c r="D541" s="2" t="s">
        <v>312</v>
      </c>
      <c r="E541" s="2" t="s">
        <v>460</v>
      </c>
      <c r="F541" s="2" t="s">
        <v>519</v>
      </c>
      <c r="G541" s="2" t="s">
        <v>548</v>
      </c>
      <c r="H541" s="2" t="s">
        <v>553</v>
      </c>
      <c r="I541" s="4">
        <v>2</v>
      </c>
      <c r="J541" s="5"/>
      <c r="K541" s="5"/>
    </row>
    <row r="542" spans="1:11" x14ac:dyDescent="0.3">
      <c r="A542" s="2" t="s">
        <v>11</v>
      </c>
      <c r="B542" s="3">
        <v>45957</v>
      </c>
      <c r="C542" s="2" t="s">
        <v>580</v>
      </c>
      <c r="D542" s="2" t="s">
        <v>312</v>
      </c>
      <c r="E542" s="2" t="s">
        <v>468</v>
      </c>
      <c r="F542" s="2" t="s">
        <v>519</v>
      </c>
      <c r="G542" s="2" t="s">
        <v>548</v>
      </c>
      <c r="H542" s="2" t="s">
        <v>553</v>
      </c>
      <c r="I542" s="4">
        <v>1</v>
      </c>
      <c r="J542" s="5"/>
      <c r="K542" s="5"/>
    </row>
    <row r="543" spans="1:11" x14ac:dyDescent="0.3">
      <c r="A543" s="2" t="s">
        <v>11</v>
      </c>
      <c r="B543" s="3">
        <v>45957</v>
      </c>
      <c r="C543" s="2" t="s">
        <v>580</v>
      </c>
      <c r="D543" s="2" t="s">
        <v>312</v>
      </c>
      <c r="E543" s="2" t="s">
        <v>468</v>
      </c>
      <c r="F543" s="2" t="s">
        <v>519</v>
      </c>
      <c r="G543" s="2" t="s">
        <v>548</v>
      </c>
      <c r="H543" s="2" t="s">
        <v>553</v>
      </c>
      <c r="I543" s="4">
        <v>1</v>
      </c>
      <c r="J543" s="5"/>
      <c r="K543" s="5"/>
    </row>
    <row r="544" spans="1:11" x14ac:dyDescent="0.3">
      <c r="A544" s="2" t="s">
        <v>11</v>
      </c>
      <c r="B544" s="3">
        <v>45957</v>
      </c>
      <c r="C544" s="2" t="s">
        <v>580</v>
      </c>
      <c r="D544" s="2" t="s">
        <v>312</v>
      </c>
      <c r="E544" s="2" t="s">
        <v>537</v>
      </c>
      <c r="F544" s="2" t="s">
        <v>542</v>
      </c>
      <c r="G544" s="2" t="s">
        <v>548</v>
      </c>
      <c r="H544" s="2" t="s">
        <v>553</v>
      </c>
      <c r="I544" s="4">
        <v>4</v>
      </c>
      <c r="J544" s="5"/>
      <c r="K544" s="5"/>
    </row>
    <row r="545" spans="1:11" x14ac:dyDescent="0.3">
      <c r="A545" s="2" t="s">
        <v>11</v>
      </c>
      <c r="B545" s="3">
        <v>45957</v>
      </c>
      <c r="C545" s="2" t="s">
        <v>581</v>
      </c>
      <c r="D545" s="2" t="s">
        <v>396</v>
      </c>
      <c r="E545" s="2" t="s">
        <v>511</v>
      </c>
      <c r="F545" s="2" t="s">
        <v>542</v>
      </c>
      <c r="G545" s="2" t="s">
        <v>550</v>
      </c>
      <c r="H545" s="2" t="s">
        <v>554</v>
      </c>
      <c r="I545" s="4">
        <v>12</v>
      </c>
      <c r="J545" s="5">
        <v>20000</v>
      </c>
      <c r="K545" s="5">
        <f>ROUND(IF(ISNUMBER(J545), I545*J545, I545),5)</f>
        <v>240000</v>
      </c>
    </row>
    <row r="546" spans="1:11" x14ac:dyDescent="0.3">
      <c r="A546" s="2" t="s">
        <v>11</v>
      </c>
      <c r="B546" s="3">
        <v>45957</v>
      </c>
      <c r="C546" s="2" t="s">
        <v>582</v>
      </c>
      <c r="D546" s="2" t="s">
        <v>396</v>
      </c>
      <c r="E546" s="2" t="s">
        <v>511</v>
      </c>
      <c r="F546" s="2" t="s">
        <v>542</v>
      </c>
      <c r="G546" s="2" t="s">
        <v>550</v>
      </c>
      <c r="H546" s="2" t="s">
        <v>554</v>
      </c>
      <c r="I546" s="4">
        <v>2</v>
      </c>
      <c r="J546" s="5">
        <v>20000</v>
      </c>
      <c r="K546" s="5">
        <f>ROUND(IF(ISNUMBER(J546), I546*J546, I546),5)</f>
        <v>40000</v>
      </c>
    </row>
    <row r="547" spans="1:11" x14ac:dyDescent="0.3">
      <c r="A547" s="2" t="s">
        <v>11</v>
      </c>
      <c r="B547" s="3">
        <v>45957</v>
      </c>
      <c r="C547" s="2" t="s">
        <v>583</v>
      </c>
      <c r="D547" s="2" t="s">
        <v>386</v>
      </c>
      <c r="E547" s="2" t="s">
        <v>442</v>
      </c>
      <c r="F547" s="2" t="s">
        <v>540</v>
      </c>
      <c r="G547" s="2" t="s">
        <v>551</v>
      </c>
      <c r="H547" s="2" t="s">
        <v>553</v>
      </c>
      <c r="I547" s="4">
        <v>1</v>
      </c>
      <c r="J547" s="5">
        <v>43000</v>
      </c>
      <c r="K547" s="5">
        <f>ROUND(IF(ISNUMBER(J547), I547*J547, I547),5)</f>
        <v>43000</v>
      </c>
    </row>
    <row r="548" spans="1:11" x14ac:dyDescent="0.3">
      <c r="A548" s="2" t="s">
        <v>11</v>
      </c>
      <c r="B548" s="3">
        <v>45958</v>
      </c>
      <c r="C548" s="2" t="s">
        <v>584</v>
      </c>
      <c r="D548" s="2" t="s">
        <v>348</v>
      </c>
      <c r="E548" s="2" t="s">
        <v>534</v>
      </c>
      <c r="F548" s="2" t="s">
        <v>519</v>
      </c>
      <c r="G548" s="2" t="s">
        <v>551</v>
      </c>
      <c r="H548" s="2" t="s">
        <v>553</v>
      </c>
      <c r="I548" s="4">
        <v>1</v>
      </c>
      <c r="J548" s="5">
        <v>250000</v>
      </c>
      <c r="K548" s="5">
        <f>ROUND(IF(ISNUMBER(J548), I548*J548, I548),5)</f>
        <v>250000</v>
      </c>
    </row>
    <row r="549" spans="1:11" x14ac:dyDescent="0.3">
      <c r="A549" s="2" t="s">
        <v>11</v>
      </c>
      <c r="B549" s="3">
        <v>45958</v>
      </c>
      <c r="C549" s="2" t="s">
        <v>584</v>
      </c>
      <c r="D549" s="2" t="s">
        <v>348</v>
      </c>
      <c r="E549" s="2" t="s">
        <v>442</v>
      </c>
      <c r="F549" s="2" t="s">
        <v>540</v>
      </c>
      <c r="G549" s="2" t="s">
        <v>551</v>
      </c>
      <c r="H549" s="2" t="s">
        <v>553</v>
      </c>
      <c r="I549" s="4">
        <v>3</v>
      </c>
      <c r="J549" s="5">
        <v>41000</v>
      </c>
      <c r="K549" s="5">
        <f>ROUND(IF(ISNUMBER(J549), I549*J549, I549),5)</f>
        <v>123000</v>
      </c>
    </row>
    <row r="550" spans="1:11" x14ac:dyDescent="0.3">
      <c r="A550" s="2" t="s">
        <v>11</v>
      </c>
      <c r="B550" s="3">
        <v>45958</v>
      </c>
      <c r="C550" s="2" t="s">
        <v>585</v>
      </c>
      <c r="D550" s="2" t="s">
        <v>313</v>
      </c>
      <c r="E550" s="2" t="s">
        <v>446</v>
      </c>
      <c r="F550" s="2" t="s">
        <v>519</v>
      </c>
      <c r="G550" s="2" t="s">
        <v>549</v>
      </c>
      <c r="H550" s="2" t="s">
        <v>553</v>
      </c>
      <c r="I550" s="4">
        <v>2</v>
      </c>
      <c r="J550" s="5">
        <v>64000</v>
      </c>
      <c r="K550" s="5">
        <f>ROUND(IF(ISNUMBER(J550), I550*J550, I550),5)</f>
        <v>128000</v>
      </c>
    </row>
    <row r="551" spans="1:11" x14ac:dyDescent="0.3">
      <c r="A551" s="2" t="s">
        <v>11</v>
      </c>
      <c r="B551" s="3">
        <v>45958</v>
      </c>
      <c r="C551" s="2" t="s">
        <v>585</v>
      </c>
      <c r="D551" s="2" t="s">
        <v>313</v>
      </c>
      <c r="E551" s="2" t="s">
        <v>444</v>
      </c>
      <c r="F551" s="2" t="s">
        <v>519</v>
      </c>
      <c r="G551" s="2" t="s">
        <v>549</v>
      </c>
      <c r="H551" s="2" t="s">
        <v>553</v>
      </c>
      <c r="I551" s="4">
        <v>2</v>
      </c>
      <c r="J551" s="5">
        <v>130000</v>
      </c>
      <c r="K551" s="5">
        <f>ROUND(IF(ISNUMBER(J551), I551*J551, I551),5)</f>
        <v>260000</v>
      </c>
    </row>
    <row r="552" spans="1:11" x14ac:dyDescent="0.3">
      <c r="A552" s="2" t="s">
        <v>11</v>
      </c>
      <c r="B552" s="3">
        <v>45958</v>
      </c>
      <c r="C552" s="2" t="s">
        <v>586</v>
      </c>
      <c r="D552" s="2" t="s">
        <v>313</v>
      </c>
      <c r="E552" s="2" t="s">
        <v>511</v>
      </c>
      <c r="F552" s="2" t="s">
        <v>542</v>
      </c>
      <c r="G552" s="2" t="s">
        <v>550</v>
      </c>
      <c r="H552" s="2" t="s">
        <v>553</v>
      </c>
      <c r="I552" s="4">
        <v>2</v>
      </c>
      <c r="J552" s="5">
        <v>16950</v>
      </c>
      <c r="K552" s="5">
        <f>ROUND(IF(ISNUMBER(J552), I552*J552, I552),5)</f>
        <v>33900</v>
      </c>
    </row>
    <row r="553" spans="1:11" x14ac:dyDescent="0.3">
      <c r="A553" s="2" t="s">
        <v>11</v>
      </c>
      <c r="B553" s="3">
        <v>45958</v>
      </c>
      <c r="C553" s="2" t="s">
        <v>586</v>
      </c>
      <c r="D553" s="2" t="s">
        <v>313</v>
      </c>
      <c r="E553" s="2" t="s">
        <v>491</v>
      </c>
      <c r="F553" s="2" t="s">
        <v>542</v>
      </c>
      <c r="G553" s="2" t="s">
        <v>550</v>
      </c>
      <c r="H553" s="2" t="s">
        <v>553</v>
      </c>
      <c r="I553" s="4">
        <v>1</v>
      </c>
      <c r="J553" s="5">
        <v>38135</v>
      </c>
      <c r="K553" s="5">
        <f>ROUND(IF(ISNUMBER(J553), I553*J553, I553),5)</f>
        <v>38135</v>
      </c>
    </row>
    <row r="554" spans="1:11" x14ac:dyDescent="0.3">
      <c r="A554" s="2" t="s">
        <v>11</v>
      </c>
      <c r="B554" s="3">
        <v>45958</v>
      </c>
      <c r="C554" s="2" t="s">
        <v>586</v>
      </c>
      <c r="D554" s="2" t="s">
        <v>313</v>
      </c>
      <c r="E554" s="2" t="s">
        <v>457</v>
      </c>
      <c r="F554" s="2" t="s">
        <v>542</v>
      </c>
      <c r="G554" s="2" t="s">
        <v>550</v>
      </c>
      <c r="H554" s="2" t="s">
        <v>553</v>
      </c>
      <c r="I554" s="4">
        <v>5</v>
      </c>
      <c r="J554" s="5">
        <v>19800</v>
      </c>
      <c r="K554" s="5">
        <f>ROUND(IF(ISNUMBER(J554), I554*J554, I554),5)</f>
        <v>99000</v>
      </c>
    </row>
    <row r="555" spans="1:11" x14ac:dyDescent="0.3">
      <c r="A555" s="2" t="s">
        <v>11</v>
      </c>
      <c r="B555" s="3">
        <v>45958</v>
      </c>
      <c r="C555" s="2" t="s">
        <v>586</v>
      </c>
      <c r="D555" s="2" t="s">
        <v>313</v>
      </c>
      <c r="E555" s="2" t="s">
        <v>489</v>
      </c>
      <c r="F555" s="2" t="s">
        <v>542</v>
      </c>
      <c r="G555" s="2" t="s">
        <v>550</v>
      </c>
      <c r="H555" s="2" t="s">
        <v>553</v>
      </c>
      <c r="I555" s="4">
        <v>1</v>
      </c>
      <c r="J555" s="5">
        <v>24200</v>
      </c>
      <c r="K555" s="5">
        <f>ROUND(IF(ISNUMBER(J555), I555*J555, I555),5)</f>
        <v>24200</v>
      </c>
    </row>
    <row r="556" spans="1:11" x14ac:dyDescent="0.3">
      <c r="A556" s="2" t="s">
        <v>11</v>
      </c>
      <c r="B556" s="3">
        <v>45958</v>
      </c>
      <c r="C556" s="2" t="s">
        <v>586</v>
      </c>
      <c r="D556" s="2" t="s">
        <v>313</v>
      </c>
      <c r="E556" s="2" t="s">
        <v>492</v>
      </c>
      <c r="F556" s="2" t="s">
        <v>542</v>
      </c>
      <c r="G556" s="2" t="s">
        <v>550</v>
      </c>
      <c r="H556" s="2" t="s">
        <v>553</v>
      </c>
      <c r="I556" s="4">
        <v>3</v>
      </c>
      <c r="J556" s="5">
        <v>3310</v>
      </c>
      <c r="K556" s="5">
        <f>ROUND(IF(ISNUMBER(J556), I556*J556, I556),5)</f>
        <v>9930</v>
      </c>
    </row>
    <row r="557" spans="1:11" x14ac:dyDescent="0.3">
      <c r="A557" s="2" t="s">
        <v>11</v>
      </c>
      <c r="B557" s="3">
        <v>45959</v>
      </c>
      <c r="C557" s="2" t="s">
        <v>587</v>
      </c>
      <c r="D557" s="2" t="s">
        <v>861</v>
      </c>
      <c r="E557" s="2" t="s">
        <v>472</v>
      </c>
      <c r="F557" s="2" t="s">
        <v>544</v>
      </c>
      <c r="G557" s="2" t="s">
        <v>551</v>
      </c>
      <c r="H557" s="2" t="s">
        <v>554</v>
      </c>
      <c r="I557" s="4">
        <v>1</v>
      </c>
      <c r="J557" s="5">
        <v>8000</v>
      </c>
      <c r="K557" s="5">
        <f>ROUND(IF(ISNUMBER(J557), I557*J557, I557),5)</f>
        <v>8000</v>
      </c>
    </row>
    <row r="558" spans="1:11" x14ac:dyDescent="0.3">
      <c r="A558" s="2" t="s">
        <v>11</v>
      </c>
      <c r="B558" s="3">
        <v>45959</v>
      </c>
      <c r="C558" s="2" t="s">
        <v>588</v>
      </c>
      <c r="D558" s="2" t="s">
        <v>376</v>
      </c>
      <c r="E558" s="2" t="s">
        <v>496</v>
      </c>
      <c r="F558" s="2" t="s">
        <v>545</v>
      </c>
      <c r="G558" s="2" t="s">
        <v>550</v>
      </c>
      <c r="H558" s="2" t="s">
        <v>553</v>
      </c>
      <c r="I558" s="4">
        <v>5</v>
      </c>
      <c r="J558" s="4">
        <v>1694.915</v>
      </c>
      <c r="K558" s="5">
        <f>ROUND(IF(ISNUMBER(J558), I558*J558, I558),5)</f>
        <v>8474.5750000000007</v>
      </c>
    </row>
    <row r="559" spans="1:11" x14ac:dyDescent="0.3">
      <c r="A559" s="2" t="s">
        <v>11</v>
      </c>
      <c r="B559" s="3">
        <v>45959</v>
      </c>
      <c r="C559" s="2" t="s">
        <v>589</v>
      </c>
      <c r="D559" s="2" t="s">
        <v>338</v>
      </c>
      <c r="E559" s="2" t="s">
        <v>452</v>
      </c>
      <c r="F559" s="2" t="s">
        <v>542</v>
      </c>
      <c r="G559" s="2" t="s">
        <v>550</v>
      </c>
      <c r="H559" s="2" t="s">
        <v>554</v>
      </c>
      <c r="I559" s="4">
        <v>2</v>
      </c>
      <c r="J559" s="5">
        <v>10500</v>
      </c>
      <c r="K559" s="5">
        <f>ROUND(IF(ISNUMBER(J559), I559*J559, I559),5)</f>
        <v>21000</v>
      </c>
    </row>
    <row r="560" spans="1:11" x14ac:dyDescent="0.3">
      <c r="A560" s="2" t="s">
        <v>11</v>
      </c>
      <c r="B560" s="3">
        <v>45960</v>
      </c>
      <c r="C560" s="2" t="s">
        <v>590</v>
      </c>
      <c r="D560" s="2" t="s">
        <v>331</v>
      </c>
      <c r="E560" s="2" t="s">
        <v>526</v>
      </c>
      <c r="F560" s="2" t="s">
        <v>519</v>
      </c>
      <c r="G560" s="2" t="s">
        <v>549</v>
      </c>
      <c r="H560" s="2" t="s">
        <v>553</v>
      </c>
      <c r="I560" s="4">
        <v>1</v>
      </c>
      <c r="J560" s="5">
        <v>1652000</v>
      </c>
      <c r="K560" s="5">
        <f>ROUND(IF(ISNUMBER(J560), I560*J560, I560),5)</f>
        <v>1652000</v>
      </c>
    </row>
    <row r="561" spans="1:11" x14ac:dyDescent="0.3">
      <c r="A561" s="2" t="s">
        <v>11</v>
      </c>
      <c r="B561" s="3">
        <v>45960</v>
      </c>
      <c r="C561" s="2" t="s">
        <v>590</v>
      </c>
      <c r="D561" s="2" t="s">
        <v>331</v>
      </c>
      <c r="E561" s="2" t="s">
        <v>495</v>
      </c>
      <c r="F561" s="2" t="s">
        <v>540</v>
      </c>
      <c r="G561" s="2" t="s">
        <v>549</v>
      </c>
      <c r="H561" s="2" t="s">
        <v>553</v>
      </c>
      <c r="I561" s="4">
        <v>7</v>
      </c>
      <c r="J561" s="5">
        <v>118000</v>
      </c>
      <c r="K561" s="5">
        <f>ROUND(IF(ISNUMBER(J561), I561*J561, I561),5)</f>
        <v>826000</v>
      </c>
    </row>
    <row r="562" spans="1:11" x14ac:dyDescent="0.3">
      <c r="A562" s="2" t="s">
        <v>11</v>
      </c>
      <c r="B562" s="3">
        <v>45960</v>
      </c>
      <c r="C562" s="2" t="s">
        <v>590</v>
      </c>
      <c r="D562" s="2" t="s">
        <v>331</v>
      </c>
      <c r="E562" s="2" t="s">
        <v>909</v>
      </c>
      <c r="F562" s="2" t="s">
        <v>540</v>
      </c>
      <c r="G562" s="2" t="s">
        <v>549</v>
      </c>
      <c r="H562" s="2" t="s">
        <v>553</v>
      </c>
      <c r="I562" s="4">
        <v>2</v>
      </c>
      <c r="J562" s="5"/>
      <c r="K562" s="5"/>
    </row>
    <row r="563" spans="1:11" x14ac:dyDescent="0.3">
      <c r="A563" s="2" t="s">
        <v>11</v>
      </c>
      <c r="B563" s="3">
        <v>45960</v>
      </c>
      <c r="C563" s="2" t="s">
        <v>590</v>
      </c>
      <c r="D563" s="2" t="s">
        <v>331</v>
      </c>
      <c r="E563" s="2" t="s">
        <v>911</v>
      </c>
      <c r="F563" s="2" t="s">
        <v>545</v>
      </c>
      <c r="G563" s="2" t="s">
        <v>549</v>
      </c>
      <c r="H563" s="2" t="s">
        <v>553</v>
      </c>
      <c r="I563" s="4">
        <v>1</v>
      </c>
      <c r="J563" s="5"/>
      <c r="K563" s="5"/>
    </row>
    <row r="564" spans="1:11" x14ac:dyDescent="0.3">
      <c r="A564" s="2" t="s">
        <v>11</v>
      </c>
      <c r="B564" s="3">
        <v>45960</v>
      </c>
      <c r="C564" s="2" t="s">
        <v>590</v>
      </c>
      <c r="D564" s="2" t="s">
        <v>331</v>
      </c>
      <c r="E564" s="2" t="s">
        <v>468</v>
      </c>
      <c r="F564" s="2" t="s">
        <v>519</v>
      </c>
      <c r="G564" s="2" t="s">
        <v>549</v>
      </c>
      <c r="H564" s="2" t="s">
        <v>553</v>
      </c>
      <c r="I564" s="4">
        <v>1</v>
      </c>
      <c r="J564" s="5"/>
      <c r="K564" s="5"/>
    </row>
    <row r="565" spans="1:11" x14ac:dyDescent="0.3">
      <c r="A565" s="2" t="s">
        <v>11</v>
      </c>
      <c r="B565" s="3">
        <v>45960</v>
      </c>
      <c r="C565" s="2" t="s">
        <v>590</v>
      </c>
      <c r="D565" s="2" t="s">
        <v>331</v>
      </c>
      <c r="E565" s="2" t="s">
        <v>460</v>
      </c>
      <c r="F565" s="2" t="s">
        <v>519</v>
      </c>
      <c r="G565" s="2" t="s">
        <v>549</v>
      </c>
      <c r="H565" s="2" t="s">
        <v>553</v>
      </c>
      <c r="I565" s="4">
        <v>1</v>
      </c>
      <c r="J565" s="5"/>
      <c r="K565" s="5"/>
    </row>
    <row r="566" spans="1:11" x14ac:dyDescent="0.3">
      <c r="A566" s="2" t="s">
        <v>11</v>
      </c>
      <c r="B566" s="3">
        <v>45960</v>
      </c>
      <c r="C566" s="2" t="s">
        <v>591</v>
      </c>
      <c r="D566" s="2" t="s">
        <v>393</v>
      </c>
      <c r="E566" s="2" t="s">
        <v>527</v>
      </c>
      <c r="F566" s="2" t="s">
        <v>542</v>
      </c>
      <c r="G566" s="2" t="s">
        <v>550</v>
      </c>
      <c r="H566" s="2" t="s">
        <v>554</v>
      </c>
      <c r="I566" s="4">
        <v>3</v>
      </c>
      <c r="J566" s="5">
        <v>5850</v>
      </c>
      <c r="K566" s="5">
        <f>ROUND(IF(ISNUMBER(J566), I566*J566, I566),5)</f>
        <v>17550</v>
      </c>
    </row>
    <row r="567" spans="1:11" x14ac:dyDescent="0.3">
      <c r="A567" s="2" t="s">
        <v>11</v>
      </c>
      <c r="B567" s="3">
        <v>45960</v>
      </c>
      <c r="C567" s="2" t="s">
        <v>592</v>
      </c>
      <c r="D567" s="2" t="s">
        <v>325</v>
      </c>
      <c r="E567" s="2" t="s">
        <v>459</v>
      </c>
      <c r="F567" s="2" t="s">
        <v>519</v>
      </c>
      <c r="G567" s="2" t="s">
        <v>548</v>
      </c>
      <c r="H567" s="2" t="s">
        <v>553</v>
      </c>
      <c r="I567" s="4">
        <v>1</v>
      </c>
      <c r="J567" s="5">
        <v>640000</v>
      </c>
      <c r="K567" s="5">
        <f>ROUND(IF(ISNUMBER(J567), I567*J567, I567),5)</f>
        <v>640000</v>
      </c>
    </row>
    <row r="568" spans="1:11" x14ac:dyDescent="0.3">
      <c r="A568" s="2" t="s">
        <v>11</v>
      </c>
      <c r="B568" s="3">
        <v>45960</v>
      </c>
      <c r="C568" s="2" t="s">
        <v>592</v>
      </c>
      <c r="D568" s="2" t="s">
        <v>325</v>
      </c>
      <c r="E568" s="2" t="s">
        <v>442</v>
      </c>
      <c r="F568" s="2" t="s">
        <v>540</v>
      </c>
      <c r="G568" s="2" t="s">
        <v>548</v>
      </c>
      <c r="H568" s="2" t="s">
        <v>553</v>
      </c>
      <c r="I568" s="4">
        <v>3</v>
      </c>
      <c r="J568" s="5">
        <v>40000</v>
      </c>
      <c r="K568" s="5">
        <f>ROUND(IF(ISNUMBER(J568), I568*J568, I568),5)</f>
        <v>120000</v>
      </c>
    </row>
    <row r="569" spans="1:11" x14ac:dyDescent="0.3">
      <c r="A569" s="2" t="s">
        <v>11</v>
      </c>
      <c r="B569" s="3">
        <v>45960</v>
      </c>
      <c r="C569" s="2" t="s">
        <v>592</v>
      </c>
      <c r="D569" s="2" t="s">
        <v>325</v>
      </c>
      <c r="E569" s="2" t="s">
        <v>499</v>
      </c>
      <c r="F569" s="2" t="s">
        <v>540</v>
      </c>
      <c r="G569" s="2" t="s">
        <v>548</v>
      </c>
      <c r="H569" s="2" t="s">
        <v>553</v>
      </c>
      <c r="I569" s="4">
        <v>2</v>
      </c>
      <c r="J569" s="5">
        <v>56700</v>
      </c>
      <c r="K569" s="5">
        <f>ROUND(IF(ISNUMBER(J569), I569*J569, I569),5)</f>
        <v>113400</v>
      </c>
    </row>
    <row r="570" spans="1:11" x14ac:dyDescent="0.3">
      <c r="A570" s="2" t="s">
        <v>11</v>
      </c>
      <c r="B570" s="3">
        <v>45960</v>
      </c>
      <c r="C570" s="2" t="s">
        <v>592</v>
      </c>
      <c r="D570" s="2" t="s">
        <v>325</v>
      </c>
      <c r="E570" s="2" t="s">
        <v>460</v>
      </c>
      <c r="F570" s="2" t="s">
        <v>519</v>
      </c>
      <c r="G570" s="2" t="s">
        <v>548</v>
      </c>
      <c r="H570" s="2" t="s">
        <v>553</v>
      </c>
      <c r="I570" s="4">
        <v>1</v>
      </c>
      <c r="J570" s="5"/>
      <c r="K570" s="5"/>
    </row>
    <row r="571" spans="1:11" x14ac:dyDescent="0.3">
      <c r="A571" s="2" t="s">
        <v>11</v>
      </c>
      <c r="B571" s="3">
        <v>45960</v>
      </c>
      <c r="C571" s="2" t="s">
        <v>593</v>
      </c>
      <c r="D571" s="2" t="s">
        <v>325</v>
      </c>
      <c r="E571" s="2" t="s">
        <v>497</v>
      </c>
      <c r="F571" s="2" t="s">
        <v>519</v>
      </c>
      <c r="G571" s="2" t="s">
        <v>548</v>
      </c>
      <c r="H571" s="2" t="s">
        <v>553</v>
      </c>
      <c r="I571" s="4">
        <v>1</v>
      </c>
      <c r="J571" s="5">
        <v>330000</v>
      </c>
      <c r="K571" s="5">
        <f>ROUND(IF(ISNUMBER(J571), I571*J571, I571),5)</f>
        <v>330000</v>
      </c>
    </row>
    <row r="572" spans="1:11" x14ac:dyDescent="0.3">
      <c r="A572" s="2" t="s">
        <v>11</v>
      </c>
      <c r="B572" s="3">
        <v>45960</v>
      </c>
      <c r="C572" s="2" t="s">
        <v>594</v>
      </c>
      <c r="D572" s="2" t="s">
        <v>382</v>
      </c>
      <c r="E572" s="2" t="s">
        <v>480</v>
      </c>
      <c r="F572" s="2" t="s">
        <v>542</v>
      </c>
      <c r="G572" s="2" t="s">
        <v>550</v>
      </c>
      <c r="H572" s="2" t="s">
        <v>554</v>
      </c>
      <c r="I572" s="4">
        <v>1</v>
      </c>
      <c r="J572" s="5">
        <v>8200</v>
      </c>
      <c r="K572" s="5">
        <f>ROUND(IF(ISNUMBER(J572), I572*J572, I572),5)</f>
        <v>8200</v>
      </c>
    </row>
    <row r="573" spans="1:11" x14ac:dyDescent="0.3">
      <c r="A573" s="2" t="s">
        <v>11</v>
      </c>
      <c r="B573" s="3">
        <v>45961</v>
      </c>
      <c r="C573" s="2" t="s">
        <v>595</v>
      </c>
      <c r="D573" s="2" t="s">
        <v>408</v>
      </c>
      <c r="E573" s="2" t="s">
        <v>459</v>
      </c>
      <c r="F573" s="2" t="s">
        <v>519</v>
      </c>
      <c r="G573" s="2" t="s">
        <v>548</v>
      </c>
      <c r="H573" s="2" t="s">
        <v>553</v>
      </c>
      <c r="I573" s="4">
        <v>1</v>
      </c>
      <c r="J573" s="5">
        <v>637000</v>
      </c>
      <c r="K573" s="5">
        <f>ROUND(IF(ISNUMBER(J573), I573*J573, I573),5)</f>
        <v>637000</v>
      </c>
    </row>
    <row r="574" spans="1:11" x14ac:dyDescent="0.3">
      <c r="A574" s="2" t="s">
        <v>11</v>
      </c>
      <c r="B574" s="3">
        <v>45961</v>
      </c>
      <c r="C574" s="2" t="s">
        <v>595</v>
      </c>
      <c r="D574" s="2" t="s">
        <v>408</v>
      </c>
      <c r="E574" s="2" t="s">
        <v>453</v>
      </c>
      <c r="F574" s="2" t="s">
        <v>540</v>
      </c>
      <c r="G574" s="2" t="s">
        <v>548</v>
      </c>
      <c r="H574" s="2" t="s">
        <v>553</v>
      </c>
      <c r="I574" s="4">
        <v>4</v>
      </c>
      <c r="J574" s="5">
        <v>82000</v>
      </c>
      <c r="K574" s="5">
        <f>ROUND(IF(ISNUMBER(J574), I574*J574, I574),5)</f>
        <v>328000</v>
      </c>
    </row>
    <row r="575" spans="1:11" x14ac:dyDescent="0.3">
      <c r="A575" s="2" t="s">
        <v>11</v>
      </c>
      <c r="B575" s="3">
        <v>45961</v>
      </c>
      <c r="C575" s="2" t="s">
        <v>595</v>
      </c>
      <c r="D575" s="2" t="s">
        <v>408</v>
      </c>
      <c r="E575" s="2" t="s">
        <v>460</v>
      </c>
      <c r="F575" s="2" t="s">
        <v>519</v>
      </c>
      <c r="G575" s="2" t="s">
        <v>548</v>
      </c>
      <c r="H575" s="2" t="s">
        <v>553</v>
      </c>
      <c r="I575" s="4">
        <v>1</v>
      </c>
      <c r="J575" s="5"/>
      <c r="K575" s="5"/>
    </row>
    <row r="576" spans="1:11" x14ac:dyDescent="0.3">
      <c r="A576" s="2" t="s">
        <v>11</v>
      </c>
      <c r="B576" s="3">
        <v>45961</v>
      </c>
      <c r="C576" s="2" t="s">
        <v>596</v>
      </c>
      <c r="D576" s="2" t="s">
        <v>386</v>
      </c>
      <c r="E576" s="2" t="s">
        <v>517</v>
      </c>
      <c r="F576" s="2" t="s">
        <v>519</v>
      </c>
      <c r="G576" s="2" t="s">
        <v>551</v>
      </c>
      <c r="H576" s="2" t="s">
        <v>553</v>
      </c>
      <c r="I576" s="4">
        <v>1</v>
      </c>
      <c r="J576" s="5">
        <v>196000</v>
      </c>
      <c r="K576" s="5">
        <f>ROUND(IF(ISNUMBER(J576), I576*J576, I576),5)</f>
        <v>196000</v>
      </c>
    </row>
    <row r="577" spans="1:11" x14ac:dyDescent="0.3">
      <c r="A577" s="2" t="s">
        <v>11</v>
      </c>
      <c r="B577" s="3">
        <v>45961</v>
      </c>
      <c r="C577" s="2" t="s">
        <v>596</v>
      </c>
      <c r="D577" s="2" t="s">
        <v>386</v>
      </c>
      <c r="E577" s="2" t="s">
        <v>453</v>
      </c>
      <c r="F577" s="2" t="s">
        <v>540</v>
      </c>
      <c r="G577" s="2" t="s">
        <v>551</v>
      </c>
      <c r="H577" s="2" t="s">
        <v>553</v>
      </c>
      <c r="I577" s="4">
        <v>2</v>
      </c>
      <c r="J577" s="5">
        <v>83000</v>
      </c>
      <c r="K577" s="5">
        <f>ROUND(IF(ISNUMBER(J577), I577*J577, I577),5)</f>
        <v>166000</v>
      </c>
    </row>
    <row r="578" spans="1:11" x14ac:dyDescent="0.3">
      <c r="A578" s="2" t="s">
        <v>11</v>
      </c>
      <c r="B578" s="3">
        <v>45961</v>
      </c>
      <c r="C578" s="2" t="s">
        <v>596</v>
      </c>
      <c r="D578" s="2" t="s">
        <v>386</v>
      </c>
      <c r="E578" s="2" t="s">
        <v>441</v>
      </c>
      <c r="F578" s="2" t="s">
        <v>547</v>
      </c>
      <c r="G578" s="2" t="s">
        <v>551</v>
      </c>
      <c r="H578" s="2" t="s">
        <v>553</v>
      </c>
      <c r="I578" s="4"/>
      <c r="J578" s="5">
        <v>-7000</v>
      </c>
      <c r="K578" s="5">
        <v>-7000</v>
      </c>
    </row>
    <row r="579" spans="1:11" x14ac:dyDescent="0.3">
      <c r="A579" s="2" t="s">
        <v>11</v>
      </c>
      <c r="B579" s="3">
        <v>45961</v>
      </c>
      <c r="C579" s="2" t="s">
        <v>597</v>
      </c>
      <c r="D579" s="2" t="s">
        <v>312</v>
      </c>
      <c r="E579" s="2" t="s">
        <v>466</v>
      </c>
      <c r="F579" s="2" t="s">
        <v>540</v>
      </c>
      <c r="G579" s="2" t="s">
        <v>548</v>
      </c>
      <c r="H579" s="2" t="s">
        <v>553</v>
      </c>
      <c r="I579" s="4">
        <v>6</v>
      </c>
      <c r="J579" s="5">
        <v>62775</v>
      </c>
      <c r="K579" s="5">
        <f>ROUND(IF(ISNUMBER(J579), I579*J579, I579),5)</f>
        <v>376650</v>
      </c>
    </row>
    <row r="580" spans="1:11" x14ac:dyDescent="0.3">
      <c r="A580" s="2" t="s">
        <v>11</v>
      </c>
      <c r="B580" s="3">
        <v>45961</v>
      </c>
      <c r="C580" s="2" t="s">
        <v>598</v>
      </c>
      <c r="D580" s="2" t="s">
        <v>862</v>
      </c>
      <c r="E580" s="2" t="s">
        <v>453</v>
      </c>
      <c r="F580" s="2" t="s">
        <v>540</v>
      </c>
      <c r="G580" s="2" t="s">
        <v>549</v>
      </c>
      <c r="H580" s="2" t="s">
        <v>553</v>
      </c>
      <c r="I580" s="4">
        <v>2</v>
      </c>
      <c r="J580" s="5">
        <v>83000</v>
      </c>
      <c r="K580" s="5">
        <f>ROUND(IF(ISNUMBER(J580), I580*J580, I580),5)</f>
        <v>166000</v>
      </c>
    </row>
    <row r="581" spans="1:11" x14ac:dyDescent="0.3">
      <c r="A581" s="2" t="s">
        <v>11</v>
      </c>
      <c r="B581" s="3">
        <v>45964</v>
      </c>
      <c r="C581" s="2" t="s">
        <v>599</v>
      </c>
      <c r="D581" s="2" t="s">
        <v>318</v>
      </c>
      <c r="E581" s="2" t="s">
        <v>457</v>
      </c>
      <c r="F581" s="2" t="s">
        <v>542</v>
      </c>
      <c r="G581" s="2" t="s">
        <v>550</v>
      </c>
      <c r="H581" s="2" t="s">
        <v>554</v>
      </c>
      <c r="I581" s="4">
        <v>3</v>
      </c>
      <c r="J581" s="5">
        <v>23750</v>
      </c>
      <c r="K581" s="5">
        <f>ROUND(IF(ISNUMBER(J581), I581*J581, I581),5)</f>
        <v>71250</v>
      </c>
    </row>
    <row r="582" spans="1:11" x14ac:dyDescent="0.3">
      <c r="A582" s="2" t="s">
        <v>11</v>
      </c>
      <c r="B582" s="3">
        <v>45964</v>
      </c>
      <c r="C582" s="2" t="s">
        <v>600</v>
      </c>
      <c r="D582" s="2" t="s">
        <v>863</v>
      </c>
      <c r="E582" s="2" t="s">
        <v>535</v>
      </c>
      <c r="F582" s="2" t="s">
        <v>542</v>
      </c>
      <c r="G582" s="2" t="s">
        <v>550</v>
      </c>
      <c r="H582" s="2" t="s">
        <v>553</v>
      </c>
      <c r="I582" s="4">
        <v>1</v>
      </c>
      <c r="J582" s="5">
        <v>98000</v>
      </c>
      <c r="K582" s="5">
        <f>ROUND(IF(ISNUMBER(J582), I582*J582, I582),5)</f>
        <v>98000</v>
      </c>
    </row>
    <row r="583" spans="1:11" x14ac:dyDescent="0.3">
      <c r="A583" s="2" t="s">
        <v>11</v>
      </c>
      <c r="B583" s="3">
        <v>45964</v>
      </c>
      <c r="C583" s="2" t="s">
        <v>600</v>
      </c>
      <c r="D583" s="2" t="s">
        <v>863</v>
      </c>
      <c r="E583" s="2" t="s">
        <v>458</v>
      </c>
      <c r="F583" s="2" t="s">
        <v>542</v>
      </c>
      <c r="G583" s="2" t="s">
        <v>550</v>
      </c>
      <c r="H583" s="2" t="s">
        <v>553</v>
      </c>
      <c r="I583" s="4">
        <v>1</v>
      </c>
      <c r="J583" s="5">
        <v>125000</v>
      </c>
      <c r="K583" s="5">
        <f>ROUND(IF(ISNUMBER(J583), I583*J583, I583),5)</f>
        <v>125000</v>
      </c>
    </row>
    <row r="584" spans="1:11" x14ac:dyDescent="0.3">
      <c r="A584" s="2" t="s">
        <v>12</v>
      </c>
      <c r="B584" s="3">
        <v>45965</v>
      </c>
      <c r="C584" s="2" t="s">
        <v>601</v>
      </c>
      <c r="D584" s="2" t="s">
        <v>386</v>
      </c>
      <c r="E584" s="2" t="s">
        <v>517</v>
      </c>
      <c r="F584" s="2" t="s">
        <v>519</v>
      </c>
      <c r="G584" s="2"/>
      <c r="H584" s="2" t="s">
        <v>553</v>
      </c>
      <c r="I584" s="4">
        <v>-1</v>
      </c>
      <c r="J584" s="5">
        <v>196000</v>
      </c>
      <c r="K584" s="5">
        <f>ROUND(IF(ISNUMBER(J584), I584*J584, I584),5)</f>
        <v>-196000</v>
      </c>
    </row>
    <row r="585" spans="1:11" x14ac:dyDescent="0.3">
      <c r="A585" s="2" t="s">
        <v>12</v>
      </c>
      <c r="B585" s="3">
        <v>45965</v>
      </c>
      <c r="C585" s="2" t="s">
        <v>601</v>
      </c>
      <c r="D585" s="2" t="s">
        <v>386</v>
      </c>
      <c r="E585" s="2" t="s">
        <v>453</v>
      </c>
      <c r="F585" s="2" t="s">
        <v>540</v>
      </c>
      <c r="G585" s="2"/>
      <c r="H585" s="2" t="s">
        <v>553</v>
      </c>
      <c r="I585" s="4">
        <v>-2</v>
      </c>
      <c r="J585" s="5">
        <v>83000</v>
      </c>
      <c r="K585" s="5">
        <f>ROUND(IF(ISNUMBER(J585), I585*J585, I585),5)</f>
        <v>-166000</v>
      </c>
    </row>
    <row r="586" spans="1:11" x14ac:dyDescent="0.3">
      <c r="A586" s="2" t="s">
        <v>12</v>
      </c>
      <c r="B586" s="3">
        <v>45965</v>
      </c>
      <c r="C586" s="2" t="s">
        <v>601</v>
      </c>
      <c r="D586" s="2" t="s">
        <v>386</v>
      </c>
      <c r="E586" s="2" t="s">
        <v>441</v>
      </c>
      <c r="F586" s="2" t="s">
        <v>547</v>
      </c>
      <c r="G586" s="2"/>
      <c r="H586" s="2" t="s">
        <v>553</v>
      </c>
      <c r="I586" s="4"/>
      <c r="J586" s="5">
        <v>-7000</v>
      </c>
      <c r="K586" s="5">
        <v>7000</v>
      </c>
    </row>
    <row r="587" spans="1:11" x14ac:dyDescent="0.3">
      <c r="A587" s="2" t="s">
        <v>11</v>
      </c>
      <c r="B587" s="3">
        <v>45965</v>
      </c>
      <c r="C587" s="2" t="s">
        <v>602</v>
      </c>
      <c r="D587" s="2" t="s">
        <v>386</v>
      </c>
      <c r="E587" s="2" t="s">
        <v>500</v>
      </c>
      <c r="F587" s="2" t="s">
        <v>519</v>
      </c>
      <c r="G587" s="2" t="s">
        <v>551</v>
      </c>
      <c r="H587" s="2" t="s">
        <v>553</v>
      </c>
      <c r="I587" s="4">
        <v>1</v>
      </c>
      <c r="J587" s="5">
        <v>231000</v>
      </c>
      <c r="K587" s="5">
        <f>ROUND(IF(ISNUMBER(J587), I587*J587, I587),5)</f>
        <v>231000</v>
      </c>
    </row>
    <row r="588" spans="1:11" x14ac:dyDescent="0.3">
      <c r="A588" s="2" t="s">
        <v>11</v>
      </c>
      <c r="B588" s="3">
        <v>45965</v>
      </c>
      <c r="C588" s="2" t="s">
        <v>602</v>
      </c>
      <c r="D588" s="2" t="s">
        <v>386</v>
      </c>
      <c r="E588" s="2" t="s">
        <v>912</v>
      </c>
      <c r="F588" s="2" t="s">
        <v>540</v>
      </c>
      <c r="G588" s="2" t="s">
        <v>551</v>
      </c>
      <c r="H588" s="2" t="s">
        <v>553</v>
      </c>
      <c r="I588" s="4">
        <v>2</v>
      </c>
      <c r="J588" s="5">
        <v>83000</v>
      </c>
      <c r="K588" s="5">
        <f>ROUND(IF(ISNUMBER(J588), I588*J588, I588),5)</f>
        <v>166000</v>
      </c>
    </row>
    <row r="589" spans="1:11" x14ac:dyDescent="0.3">
      <c r="A589" s="2" t="s">
        <v>11</v>
      </c>
      <c r="B589" s="3">
        <v>45965</v>
      </c>
      <c r="C589" s="2" t="s">
        <v>602</v>
      </c>
      <c r="D589" s="2" t="s">
        <v>386</v>
      </c>
      <c r="E589" s="2" t="s">
        <v>441</v>
      </c>
      <c r="F589" s="2" t="s">
        <v>547</v>
      </c>
      <c r="G589" s="2" t="s">
        <v>551</v>
      </c>
      <c r="H589" s="2" t="s">
        <v>553</v>
      </c>
      <c r="I589" s="4"/>
      <c r="J589" s="5">
        <v>-5000</v>
      </c>
      <c r="K589" s="5">
        <v>-5000</v>
      </c>
    </row>
    <row r="590" spans="1:11" x14ac:dyDescent="0.3">
      <c r="A590" s="2" t="s">
        <v>11</v>
      </c>
      <c r="B590" s="3">
        <v>45967</v>
      </c>
      <c r="C590" s="2" t="s">
        <v>603</v>
      </c>
      <c r="D590" s="2" t="s">
        <v>421</v>
      </c>
      <c r="E590" s="2" t="s">
        <v>444</v>
      </c>
      <c r="F590" s="2" t="s">
        <v>519</v>
      </c>
      <c r="G590" s="2" t="s">
        <v>548</v>
      </c>
      <c r="H590" s="2" t="s">
        <v>553</v>
      </c>
      <c r="I590" s="4">
        <v>1</v>
      </c>
      <c r="J590" s="5">
        <v>128000</v>
      </c>
      <c r="K590" s="5">
        <f>ROUND(IF(ISNUMBER(J590), I590*J590, I590),5)</f>
        <v>128000</v>
      </c>
    </row>
    <row r="591" spans="1:11" x14ac:dyDescent="0.3">
      <c r="A591" s="2" t="s">
        <v>11</v>
      </c>
      <c r="B591" s="3">
        <v>45967</v>
      </c>
      <c r="C591" s="2" t="s">
        <v>603</v>
      </c>
      <c r="D591" s="2" t="s">
        <v>421</v>
      </c>
      <c r="E591" s="2" t="s">
        <v>466</v>
      </c>
      <c r="F591" s="2" t="s">
        <v>540</v>
      </c>
      <c r="G591" s="2" t="s">
        <v>548</v>
      </c>
      <c r="H591" s="2" t="s">
        <v>553</v>
      </c>
      <c r="I591" s="4">
        <v>3</v>
      </c>
      <c r="J591" s="5">
        <v>62000</v>
      </c>
      <c r="K591" s="5">
        <f>ROUND(IF(ISNUMBER(J591), I591*J591, I591),5)</f>
        <v>186000</v>
      </c>
    </row>
    <row r="592" spans="1:11" x14ac:dyDescent="0.3">
      <c r="A592" s="2" t="s">
        <v>11</v>
      </c>
      <c r="B592" s="3">
        <v>45967</v>
      </c>
      <c r="C592" s="2" t="s">
        <v>604</v>
      </c>
      <c r="D592" s="2" t="s">
        <v>403</v>
      </c>
      <c r="E592" s="2" t="s">
        <v>522</v>
      </c>
      <c r="F592" s="2" t="s">
        <v>519</v>
      </c>
      <c r="G592" s="2" t="s">
        <v>549</v>
      </c>
      <c r="H592" s="2" t="s">
        <v>553</v>
      </c>
      <c r="I592" s="4">
        <v>1</v>
      </c>
      <c r="J592" s="5">
        <v>365000</v>
      </c>
      <c r="K592" s="5">
        <f>ROUND(IF(ISNUMBER(J592), I592*J592, I592),5)</f>
        <v>365000</v>
      </c>
    </row>
    <row r="593" spans="1:11" x14ac:dyDescent="0.3">
      <c r="A593" s="2" t="s">
        <v>11</v>
      </c>
      <c r="B593" s="3">
        <v>45967</v>
      </c>
      <c r="C593" s="2" t="s">
        <v>604</v>
      </c>
      <c r="D593" s="2" t="s">
        <v>403</v>
      </c>
      <c r="E593" s="2" t="s">
        <v>451</v>
      </c>
      <c r="F593" s="2" t="s">
        <v>540</v>
      </c>
      <c r="G593" s="2" t="s">
        <v>549</v>
      </c>
      <c r="H593" s="2" t="s">
        <v>553</v>
      </c>
      <c r="I593" s="4">
        <v>1</v>
      </c>
      <c r="J593" s="5">
        <v>125000</v>
      </c>
      <c r="K593" s="5">
        <f>ROUND(IF(ISNUMBER(J593), I593*J593, I593),5)</f>
        <v>125000</v>
      </c>
    </row>
    <row r="594" spans="1:11" x14ac:dyDescent="0.3">
      <c r="A594" s="2" t="s">
        <v>11</v>
      </c>
      <c r="B594" s="3">
        <v>45968</v>
      </c>
      <c r="C594" s="2" t="s">
        <v>605</v>
      </c>
      <c r="D594" s="2" t="s">
        <v>372</v>
      </c>
      <c r="E594" s="2" t="s">
        <v>913</v>
      </c>
      <c r="F594" s="2" t="s">
        <v>519</v>
      </c>
      <c r="G594" s="2" t="s">
        <v>548</v>
      </c>
      <c r="H594" s="2" t="s">
        <v>553</v>
      </c>
      <c r="I594" s="4">
        <v>2</v>
      </c>
      <c r="J594" s="5">
        <v>14000</v>
      </c>
      <c r="K594" s="5">
        <f>ROUND(IF(ISNUMBER(J594), I594*J594, I594),5)</f>
        <v>28000</v>
      </c>
    </row>
    <row r="595" spans="1:11" x14ac:dyDescent="0.3">
      <c r="A595" s="2" t="s">
        <v>11</v>
      </c>
      <c r="B595" s="3">
        <v>45968</v>
      </c>
      <c r="C595" s="2" t="s">
        <v>606</v>
      </c>
      <c r="D595" s="2" t="s">
        <v>375</v>
      </c>
      <c r="E595" s="2" t="s">
        <v>465</v>
      </c>
      <c r="F595" s="2" t="s">
        <v>544</v>
      </c>
      <c r="G595" s="2" t="s">
        <v>548</v>
      </c>
      <c r="H595" s="2" t="s">
        <v>553</v>
      </c>
      <c r="I595" s="4">
        <v>1</v>
      </c>
      <c r="J595" s="5">
        <v>188000</v>
      </c>
      <c r="K595" s="5">
        <f>ROUND(IF(ISNUMBER(J595), I595*J595, I595),5)</f>
        <v>188000</v>
      </c>
    </row>
    <row r="596" spans="1:11" x14ac:dyDescent="0.3">
      <c r="A596" s="2" t="s">
        <v>11</v>
      </c>
      <c r="B596" s="3">
        <v>45972</v>
      </c>
      <c r="C596" s="2" t="s">
        <v>607</v>
      </c>
      <c r="D596" s="2" t="s">
        <v>313</v>
      </c>
      <c r="E596" s="2" t="s">
        <v>511</v>
      </c>
      <c r="F596" s="2" t="s">
        <v>542</v>
      </c>
      <c r="G596" s="2" t="s">
        <v>550</v>
      </c>
      <c r="H596" s="2" t="s">
        <v>553</v>
      </c>
      <c r="I596" s="4">
        <v>2</v>
      </c>
      <c r="J596" s="5">
        <v>16950</v>
      </c>
      <c r="K596" s="5">
        <f>ROUND(IF(ISNUMBER(J596), I596*J596, I596),5)</f>
        <v>33900</v>
      </c>
    </row>
    <row r="597" spans="1:11" x14ac:dyDescent="0.3">
      <c r="A597" s="2" t="s">
        <v>11</v>
      </c>
      <c r="B597" s="3">
        <v>45972</v>
      </c>
      <c r="C597" s="2" t="s">
        <v>608</v>
      </c>
      <c r="D597" s="2" t="s">
        <v>324</v>
      </c>
      <c r="E597" s="2" t="s">
        <v>517</v>
      </c>
      <c r="F597" s="2" t="s">
        <v>519</v>
      </c>
      <c r="G597" s="2" t="s">
        <v>550</v>
      </c>
      <c r="H597" s="2" t="s">
        <v>553</v>
      </c>
      <c r="I597" s="4">
        <v>1</v>
      </c>
      <c r="J597" s="5">
        <v>167500</v>
      </c>
      <c r="K597" s="5">
        <f>ROUND(IF(ISNUMBER(J597), I597*J597, I597),5)</f>
        <v>167500</v>
      </c>
    </row>
    <row r="598" spans="1:11" x14ac:dyDescent="0.3">
      <c r="A598" s="2" t="s">
        <v>11</v>
      </c>
      <c r="B598" s="3">
        <v>45972</v>
      </c>
      <c r="C598" s="2" t="s">
        <v>609</v>
      </c>
      <c r="D598" s="2" t="s">
        <v>313</v>
      </c>
      <c r="E598" s="2" t="s">
        <v>489</v>
      </c>
      <c r="F598" s="2" t="s">
        <v>542</v>
      </c>
      <c r="G598" s="2" t="s">
        <v>550</v>
      </c>
      <c r="H598" s="2" t="s">
        <v>553</v>
      </c>
      <c r="I598" s="4">
        <v>2</v>
      </c>
      <c r="J598" s="5">
        <v>24200</v>
      </c>
      <c r="K598" s="5">
        <f>ROUND(IF(ISNUMBER(J598), I598*J598, I598),5)</f>
        <v>48400</v>
      </c>
    </row>
    <row r="599" spans="1:11" x14ac:dyDescent="0.3">
      <c r="A599" s="2" t="s">
        <v>11</v>
      </c>
      <c r="B599" s="3">
        <v>45973</v>
      </c>
      <c r="C599" s="2" t="s">
        <v>610</v>
      </c>
      <c r="D599" s="2" t="s">
        <v>864</v>
      </c>
      <c r="E599" s="2" t="s">
        <v>442</v>
      </c>
      <c r="F599" s="2" t="s">
        <v>540</v>
      </c>
      <c r="G599" s="2" t="s">
        <v>548</v>
      </c>
      <c r="H599" s="2" t="s">
        <v>553</v>
      </c>
      <c r="I599" s="4">
        <v>1</v>
      </c>
      <c r="J599" s="5">
        <v>42000</v>
      </c>
      <c r="K599" s="5">
        <f>ROUND(IF(ISNUMBER(J599), I599*J599, I599),5)</f>
        <v>42000</v>
      </c>
    </row>
    <row r="600" spans="1:11" x14ac:dyDescent="0.3">
      <c r="A600" s="2" t="s">
        <v>11</v>
      </c>
      <c r="B600" s="3">
        <v>45973</v>
      </c>
      <c r="C600" s="2" t="s">
        <v>611</v>
      </c>
      <c r="D600" s="2" t="s">
        <v>330</v>
      </c>
      <c r="E600" s="2" t="s">
        <v>500</v>
      </c>
      <c r="F600" s="2" t="s">
        <v>519</v>
      </c>
      <c r="G600" s="2" t="s">
        <v>549</v>
      </c>
      <c r="H600" s="2" t="s">
        <v>553</v>
      </c>
      <c r="I600" s="4">
        <v>1</v>
      </c>
      <c r="J600" s="5">
        <v>423000</v>
      </c>
      <c r="K600" s="5">
        <f>ROUND(IF(ISNUMBER(J600), I600*J600, I600),5)</f>
        <v>423000</v>
      </c>
    </row>
    <row r="601" spans="1:11" x14ac:dyDescent="0.3">
      <c r="A601" s="2" t="s">
        <v>11</v>
      </c>
      <c r="B601" s="3">
        <v>45973</v>
      </c>
      <c r="C601" s="2" t="s">
        <v>611</v>
      </c>
      <c r="D601" s="2" t="s">
        <v>330</v>
      </c>
      <c r="E601" s="2" t="s">
        <v>447</v>
      </c>
      <c r="F601" s="2" t="s">
        <v>540</v>
      </c>
      <c r="G601" s="2" t="s">
        <v>549</v>
      </c>
      <c r="H601" s="2" t="s">
        <v>553</v>
      </c>
      <c r="I601" s="4">
        <v>2</v>
      </c>
      <c r="J601" s="5"/>
      <c r="K601" s="5"/>
    </row>
    <row r="602" spans="1:11" x14ac:dyDescent="0.3">
      <c r="A602" s="2" t="s">
        <v>11</v>
      </c>
      <c r="B602" s="3">
        <v>45973</v>
      </c>
      <c r="C602" s="2" t="s">
        <v>611</v>
      </c>
      <c r="D602" s="2" t="s">
        <v>330</v>
      </c>
      <c r="E602" s="2" t="s">
        <v>914</v>
      </c>
      <c r="F602" s="2" t="s">
        <v>519</v>
      </c>
      <c r="G602" s="2" t="s">
        <v>549</v>
      </c>
      <c r="H602" s="2" t="s">
        <v>553</v>
      </c>
      <c r="I602" s="4">
        <v>2</v>
      </c>
      <c r="J602" s="5"/>
      <c r="K602" s="5"/>
    </row>
    <row r="603" spans="1:11" x14ac:dyDescent="0.3">
      <c r="A603" s="2" t="s">
        <v>11</v>
      </c>
      <c r="B603" s="3">
        <v>45973</v>
      </c>
      <c r="C603" s="2" t="s">
        <v>612</v>
      </c>
      <c r="D603" s="2" t="s">
        <v>312</v>
      </c>
      <c r="E603" s="2" t="s">
        <v>517</v>
      </c>
      <c r="F603" s="2" t="s">
        <v>519</v>
      </c>
      <c r="G603" s="2" t="s">
        <v>548</v>
      </c>
      <c r="H603" s="2" t="s">
        <v>553</v>
      </c>
      <c r="I603" s="4">
        <v>1</v>
      </c>
      <c r="J603" s="5">
        <v>165000</v>
      </c>
      <c r="K603" s="5">
        <f>ROUND(IF(ISNUMBER(J603), I603*J603, I603),5)</f>
        <v>165000</v>
      </c>
    </row>
    <row r="604" spans="1:11" x14ac:dyDescent="0.3">
      <c r="A604" s="2" t="s">
        <v>11</v>
      </c>
      <c r="B604" s="3">
        <v>45973</v>
      </c>
      <c r="C604" s="2" t="s">
        <v>612</v>
      </c>
      <c r="D604" s="2" t="s">
        <v>312</v>
      </c>
      <c r="E604" s="2" t="s">
        <v>912</v>
      </c>
      <c r="F604" s="2" t="s">
        <v>540</v>
      </c>
      <c r="G604" s="2" t="s">
        <v>548</v>
      </c>
      <c r="H604" s="2" t="s">
        <v>553</v>
      </c>
      <c r="I604" s="4">
        <v>4</v>
      </c>
      <c r="J604" s="5">
        <v>82000</v>
      </c>
      <c r="K604" s="5">
        <f>ROUND(IF(ISNUMBER(J604), I604*J604, I604),5)</f>
        <v>328000</v>
      </c>
    </row>
    <row r="605" spans="1:11" x14ac:dyDescent="0.3">
      <c r="A605" s="2" t="s">
        <v>11</v>
      </c>
      <c r="B605" s="3">
        <v>45974</v>
      </c>
      <c r="C605" s="2" t="s">
        <v>613</v>
      </c>
      <c r="D605" s="2" t="s">
        <v>417</v>
      </c>
      <c r="E605" s="2" t="s">
        <v>511</v>
      </c>
      <c r="F605" s="2" t="s">
        <v>542</v>
      </c>
      <c r="G605" s="2" t="s">
        <v>551</v>
      </c>
      <c r="H605" s="2" t="s">
        <v>553</v>
      </c>
      <c r="I605" s="4">
        <v>1</v>
      </c>
      <c r="J605" s="5">
        <v>18500</v>
      </c>
      <c r="K605" s="5">
        <f>ROUND(IF(ISNUMBER(J605), I605*J605, I605),5)</f>
        <v>18500</v>
      </c>
    </row>
    <row r="606" spans="1:11" x14ac:dyDescent="0.3">
      <c r="A606" s="2" t="s">
        <v>11</v>
      </c>
      <c r="B606" s="3">
        <v>45974</v>
      </c>
      <c r="C606" s="2" t="s">
        <v>614</v>
      </c>
      <c r="D606" s="2" t="s">
        <v>391</v>
      </c>
      <c r="E606" s="2" t="s">
        <v>454</v>
      </c>
      <c r="F606" s="2" t="s">
        <v>543</v>
      </c>
      <c r="G606" s="2" t="s">
        <v>549</v>
      </c>
      <c r="H606" s="2" t="s">
        <v>553</v>
      </c>
      <c r="I606" s="4">
        <v>1</v>
      </c>
      <c r="J606" s="5">
        <v>24800</v>
      </c>
      <c r="K606" s="5">
        <f>ROUND(IF(ISNUMBER(J606), I606*J606, I606),5)</f>
        <v>24800</v>
      </c>
    </row>
    <row r="607" spans="1:11" x14ac:dyDescent="0.3">
      <c r="A607" s="2" t="s">
        <v>11</v>
      </c>
      <c r="B607" s="3">
        <v>45974</v>
      </c>
      <c r="C607" s="2" t="s">
        <v>615</v>
      </c>
      <c r="D607" s="2" t="s">
        <v>862</v>
      </c>
      <c r="E607" s="2" t="s">
        <v>454</v>
      </c>
      <c r="F607" s="2" t="s">
        <v>543</v>
      </c>
      <c r="G607" s="2" t="s">
        <v>549</v>
      </c>
      <c r="H607" s="2" t="s">
        <v>553</v>
      </c>
      <c r="I607" s="4">
        <v>1</v>
      </c>
      <c r="J607" s="5">
        <v>24800</v>
      </c>
      <c r="K607" s="5">
        <f>ROUND(IF(ISNUMBER(J607), I607*J607, I607),5)</f>
        <v>24800</v>
      </c>
    </row>
    <row r="608" spans="1:11" x14ac:dyDescent="0.3">
      <c r="A608" s="2" t="s">
        <v>11</v>
      </c>
      <c r="B608" s="3">
        <v>45974</v>
      </c>
      <c r="C608" s="2" t="s">
        <v>616</v>
      </c>
      <c r="D608" s="2" t="s">
        <v>372</v>
      </c>
      <c r="E608" s="2" t="s">
        <v>498</v>
      </c>
      <c r="F608" s="2" t="s">
        <v>519</v>
      </c>
      <c r="G608" s="2" t="s">
        <v>548</v>
      </c>
      <c r="H608" s="2" t="s">
        <v>553</v>
      </c>
      <c r="I608" s="4">
        <v>1</v>
      </c>
      <c r="J608" s="5">
        <v>1125000</v>
      </c>
      <c r="K608" s="5">
        <f>ROUND(IF(ISNUMBER(J608), I608*J608, I608),5)</f>
        <v>1125000</v>
      </c>
    </row>
    <row r="609" spans="1:11" x14ac:dyDescent="0.3">
      <c r="A609" s="2" t="s">
        <v>11</v>
      </c>
      <c r="B609" s="3">
        <v>45974</v>
      </c>
      <c r="C609" s="2" t="s">
        <v>616</v>
      </c>
      <c r="D609" s="2" t="s">
        <v>372</v>
      </c>
      <c r="E609" s="2" t="s">
        <v>482</v>
      </c>
      <c r="F609" s="2" t="s">
        <v>540</v>
      </c>
      <c r="G609" s="2" t="s">
        <v>548</v>
      </c>
      <c r="H609" s="2" t="s">
        <v>553</v>
      </c>
      <c r="I609" s="4">
        <v>12</v>
      </c>
      <c r="J609" s="5">
        <v>151200</v>
      </c>
      <c r="K609" s="5">
        <f>ROUND(IF(ISNUMBER(J609), I609*J609, I609),5)</f>
        <v>1814400</v>
      </c>
    </row>
    <row r="610" spans="1:11" x14ac:dyDescent="0.3">
      <c r="A610" s="2" t="s">
        <v>11</v>
      </c>
      <c r="B610" s="3">
        <v>45974</v>
      </c>
      <c r="C610" s="2" t="s">
        <v>616</v>
      </c>
      <c r="D610" s="2" t="s">
        <v>372</v>
      </c>
      <c r="E610" s="2" t="s">
        <v>468</v>
      </c>
      <c r="F610" s="2" t="s">
        <v>519</v>
      </c>
      <c r="G610" s="2" t="s">
        <v>548</v>
      </c>
      <c r="H610" s="2" t="s">
        <v>553</v>
      </c>
      <c r="I610" s="4">
        <v>1</v>
      </c>
      <c r="J610" s="5"/>
      <c r="K610" s="5"/>
    </row>
    <row r="611" spans="1:11" x14ac:dyDescent="0.3">
      <c r="A611" s="2" t="s">
        <v>11</v>
      </c>
      <c r="B611" s="3">
        <v>45974</v>
      </c>
      <c r="C611" s="2" t="s">
        <v>616</v>
      </c>
      <c r="D611" s="2" t="s">
        <v>372</v>
      </c>
      <c r="E611" s="2" t="s">
        <v>542</v>
      </c>
      <c r="F611" s="2" t="s">
        <v>542</v>
      </c>
      <c r="G611" s="2" t="s">
        <v>548</v>
      </c>
      <c r="H611" s="2" t="s">
        <v>553</v>
      </c>
      <c r="I611" s="4">
        <v>2</v>
      </c>
      <c r="J611" s="5"/>
      <c r="K611" s="5"/>
    </row>
    <row r="612" spans="1:11" x14ac:dyDescent="0.3">
      <c r="A612" s="2" t="s">
        <v>11</v>
      </c>
      <c r="B612" s="3">
        <v>45974</v>
      </c>
      <c r="C612" s="2" t="s">
        <v>616</v>
      </c>
      <c r="D612" s="2" t="s">
        <v>372</v>
      </c>
      <c r="E612" s="2" t="s">
        <v>460</v>
      </c>
      <c r="F612" s="2" t="s">
        <v>519</v>
      </c>
      <c r="G612" s="2" t="s">
        <v>548</v>
      </c>
      <c r="H612" s="2" t="s">
        <v>553</v>
      </c>
      <c r="I612" s="4">
        <v>1</v>
      </c>
      <c r="J612" s="5"/>
      <c r="K612" s="5"/>
    </row>
    <row r="613" spans="1:11" x14ac:dyDescent="0.3">
      <c r="A613" s="2" t="s">
        <v>11</v>
      </c>
      <c r="B613" s="3">
        <v>45974</v>
      </c>
      <c r="C613" s="2" t="s">
        <v>616</v>
      </c>
      <c r="D613" s="2" t="s">
        <v>372</v>
      </c>
      <c r="E613" s="2" t="s">
        <v>441</v>
      </c>
      <c r="F613" s="2" t="s">
        <v>547</v>
      </c>
      <c r="G613" s="2" t="s">
        <v>548</v>
      </c>
      <c r="H613" s="2" t="s">
        <v>553</v>
      </c>
      <c r="I613" s="4"/>
      <c r="J613" s="5">
        <v>-12000</v>
      </c>
      <c r="K613" s="5">
        <v>-12000</v>
      </c>
    </row>
    <row r="614" spans="1:11" x14ac:dyDescent="0.3">
      <c r="A614" s="2" t="s">
        <v>11</v>
      </c>
      <c r="B614" s="3">
        <v>45974</v>
      </c>
      <c r="C614" s="2" t="s">
        <v>617</v>
      </c>
      <c r="D614" s="2" t="s">
        <v>397</v>
      </c>
      <c r="E614" s="2" t="s">
        <v>466</v>
      </c>
      <c r="F614" s="2" t="s">
        <v>540</v>
      </c>
      <c r="G614" s="2" t="s">
        <v>551</v>
      </c>
      <c r="H614" s="2" t="s">
        <v>554</v>
      </c>
      <c r="I614" s="4">
        <v>1</v>
      </c>
      <c r="J614" s="5">
        <v>74000</v>
      </c>
      <c r="K614" s="5">
        <f>ROUND(IF(ISNUMBER(J614), I614*J614, I614),5)</f>
        <v>74000</v>
      </c>
    </row>
    <row r="615" spans="1:11" x14ac:dyDescent="0.3">
      <c r="A615" s="2" t="s">
        <v>11</v>
      </c>
      <c r="B615" s="3">
        <v>45974</v>
      </c>
      <c r="C615" s="2" t="s">
        <v>618</v>
      </c>
      <c r="D615" s="2" t="s">
        <v>865</v>
      </c>
      <c r="E615" s="2" t="s">
        <v>449</v>
      </c>
      <c r="F615" s="2" t="s">
        <v>450</v>
      </c>
      <c r="G615" s="2" t="s">
        <v>550</v>
      </c>
      <c r="H615" s="2" t="s">
        <v>554</v>
      </c>
      <c r="I615" s="4">
        <v>1</v>
      </c>
      <c r="J615" s="5">
        <v>47200</v>
      </c>
      <c r="K615" s="5">
        <f>ROUND(IF(ISNUMBER(J615), I615*J615, I615),5)</f>
        <v>47200</v>
      </c>
    </row>
    <row r="616" spans="1:11" x14ac:dyDescent="0.3">
      <c r="A616" s="2" t="s">
        <v>11</v>
      </c>
      <c r="B616" s="3">
        <v>45975</v>
      </c>
      <c r="C616" s="2" t="s">
        <v>619</v>
      </c>
      <c r="D616" s="2" t="s">
        <v>367</v>
      </c>
      <c r="E616" s="2" t="s">
        <v>915</v>
      </c>
      <c r="F616" s="2" t="s">
        <v>450</v>
      </c>
      <c r="G616" s="2" t="s">
        <v>551</v>
      </c>
      <c r="H616" s="2" t="s">
        <v>553</v>
      </c>
      <c r="I616" s="4">
        <v>1</v>
      </c>
      <c r="J616" s="5">
        <v>150000</v>
      </c>
      <c r="K616" s="5">
        <f>ROUND(IF(ISNUMBER(J616), I616*J616, I616),5)</f>
        <v>150000</v>
      </c>
    </row>
    <row r="617" spans="1:11" x14ac:dyDescent="0.3">
      <c r="A617" s="2" t="s">
        <v>11</v>
      </c>
      <c r="B617" s="3">
        <v>45975</v>
      </c>
      <c r="C617" s="2" t="s">
        <v>620</v>
      </c>
      <c r="D617" s="2" t="s">
        <v>313</v>
      </c>
      <c r="E617" s="2" t="s">
        <v>480</v>
      </c>
      <c r="F617" s="2" t="s">
        <v>542</v>
      </c>
      <c r="G617" s="2" t="s">
        <v>550</v>
      </c>
      <c r="H617" s="2" t="s">
        <v>553</v>
      </c>
      <c r="I617" s="4">
        <v>1</v>
      </c>
      <c r="J617" s="5">
        <v>7000</v>
      </c>
      <c r="K617" s="5">
        <f>ROUND(IF(ISNUMBER(J617), I617*J617, I617),5)</f>
        <v>7000</v>
      </c>
    </row>
    <row r="618" spans="1:11" x14ac:dyDescent="0.3">
      <c r="A618" s="2" t="s">
        <v>11</v>
      </c>
      <c r="B618" s="3">
        <v>45978</v>
      </c>
      <c r="C618" s="2" t="s">
        <v>621</v>
      </c>
      <c r="D618" s="2" t="s">
        <v>328</v>
      </c>
      <c r="E618" s="2" t="s">
        <v>454</v>
      </c>
      <c r="F618" s="2" t="s">
        <v>543</v>
      </c>
      <c r="G618" s="2" t="s">
        <v>552</v>
      </c>
      <c r="H618" s="2" t="s">
        <v>554</v>
      </c>
      <c r="I618" s="4">
        <v>1</v>
      </c>
      <c r="J618" s="5">
        <v>2000</v>
      </c>
      <c r="K618" s="5">
        <f>ROUND(IF(ISNUMBER(J618), I618*J618, I618),5)</f>
        <v>2000</v>
      </c>
    </row>
    <row r="619" spans="1:11" x14ac:dyDescent="0.3">
      <c r="A619" s="2" t="s">
        <v>11</v>
      </c>
      <c r="B619" s="3">
        <v>45978</v>
      </c>
      <c r="C619" s="2" t="s">
        <v>622</v>
      </c>
      <c r="D619" s="2" t="s">
        <v>328</v>
      </c>
      <c r="E619" s="2" t="s">
        <v>454</v>
      </c>
      <c r="F619" s="2" t="s">
        <v>543</v>
      </c>
      <c r="G619" s="2" t="s">
        <v>552</v>
      </c>
      <c r="H619" s="2" t="s">
        <v>554</v>
      </c>
      <c r="I619" s="4">
        <v>1</v>
      </c>
      <c r="J619" s="5">
        <v>2000</v>
      </c>
      <c r="K619" s="5">
        <f>ROUND(IF(ISNUMBER(J619), I619*J619, I619),5)</f>
        <v>2000</v>
      </c>
    </row>
    <row r="620" spans="1:11" x14ac:dyDescent="0.3">
      <c r="A620" s="2" t="s">
        <v>11</v>
      </c>
      <c r="B620" s="3">
        <v>45979</v>
      </c>
      <c r="C620" s="2" t="s">
        <v>623</v>
      </c>
      <c r="D620" s="2" t="s">
        <v>336</v>
      </c>
      <c r="E620" s="2" t="s">
        <v>473</v>
      </c>
      <c r="F620" s="2" t="s">
        <v>544</v>
      </c>
      <c r="G620" s="2" t="s">
        <v>549</v>
      </c>
      <c r="H620" s="2" t="s">
        <v>553</v>
      </c>
      <c r="I620" s="4">
        <v>1</v>
      </c>
      <c r="J620" s="5">
        <v>15525</v>
      </c>
      <c r="K620" s="5">
        <f>ROUND(IF(ISNUMBER(J620), I620*J620, I620),5)</f>
        <v>15525</v>
      </c>
    </row>
    <row r="621" spans="1:11" x14ac:dyDescent="0.3">
      <c r="A621" s="2" t="s">
        <v>11</v>
      </c>
      <c r="B621" s="3">
        <v>45979</v>
      </c>
      <c r="C621" s="2" t="s">
        <v>624</v>
      </c>
      <c r="D621" s="2" t="s">
        <v>335</v>
      </c>
      <c r="E621" s="2" t="s">
        <v>473</v>
      </c>
      <c r="F621" s="2" t="s">
        <v>544</v>
      </c>
      <c r="G621" s="2" t="s">
        <v>549</v>
      </c>
      <c r="H621" s="2" t="s">
        <v>553</v>
      </c>
      <c r="I621" s="4">
        <v>1</v>
      </c>
      <c r="J621" s="5">
        <v>18931.18</v>
      </c>
      <c r="K621" s="5">
        <f>ROUND(IF(ISNUMBER(J621), I621*J621, I621),5)</f>
        <v>18931.18</v>
      </c>
    </row>
    <row r="622" spans="1:11" x14ac:dyDescent="0.3">
      <c r="A622" s="2" t="s">
        <v>11</v>
      </c>
      <c r="B622" s="3">
        <v>45979</v>
      </c>
      <c r="C622" s="2" t="s">
        <v>625</v>
      </c>
      <c r="D622" s="2" t="s">
        <v>335</v>
      </c>
      <c r="E622" s="2" t="s">
        <v>472</v>
      </c>
      <c r="F622" s="2" t="s">
        <v>544</v>
      </c>
      <c r="G622" s="2" t="s">
        <v>549</v>
      </c>
      <c r="H622" s="2" t="s">
        <v>553</v>
      </c>
      <c r="I622" s="4">
        <v>1</v>
      </c>
      <c r="J622" s="5">
        <v>6899.31</v>
      </c>
      <c r="K622" s="5">
        <f>ROUND(IF(ISNUMBER(J622), I622*J622, I622),5)</f>
        <v>6899.31</v>
      </c>
    </row>
    <row r="623" spans="1:11" x14ac:dyDescent="0.3">
      <c r="A623" s="2" t="s">
        <v>11</v>
      </c>
      <c r="B623" s="3">
        <v>45979</v>
      </c>
      <c r="C623" s="2" t="s">
        <v>626</v>
      </c>
      <c r="D623" s="2" t="s">
        <v>334</v>
      </c>
      <c r="E623" s="2" t="s">
        <v>471</v>
      </c>
      <c r="F623" s="2" t="s">
        <v>544</v>
      </c>
      <c r="G623" s="2" t="s">
        <v>549</v>
      </c>
      <c r="H623" s="2" t="s">
        <v>553</v>
      </c>
      <c r="I623" s="4">
        <v>1</v>
      </c>
      <c r="J623" s="5">
        <v>3105</v>
      </c>
      <c r="K623" s="5">
        <f>ROUND(IF(ISNUMBER(J623), I623*J623, I623),5)</f>
        <v>3105</v>
      </c>
    </row>
    <row r="624" spans="1:11" x14ac:dyDescent="0.3">
      <c r="A624" s="2" t="s">
        <v>11</v>
      </c>
      <c r="B624" s="3">
        <v>45979</v>
      </c>
      <c r="C624" s="2" t="s">
        <v>627</v>
      </c>
      <c r="D624" s="2" t="s">
        <v>402</v>
      </c>
      <c r="E624" s="2" t="s">
        <v>454</v>
      </c>
      <c r="F624" s="2" t="s">
        <v>543</v>
      </c>
      <c r="G624" s="2" t="s">
        <v>552</v>
      </c>
      <c r="H624" s="2" t="s">
        <v>554</v>
      </c>
      <c r="I624" s="4">
        <v>1</v>
      </c>
      <c r="J624" s="5">
        <v>12500</v>
      </c>
      <c r="K624" s="5">
        <f>ROUND(IF(ISNUMBER(J624), I624*J624, I624),5)</f>
        <v>12500</v>
      </c>
    </row>
    <row r="625" spans="1:11" x14ac:dyDescent="0.3">
      <c r="A625" s="2" t="s">
        <v>11</v>
      </c>
      <c r="B625" s="3">
        <v>45979</v>
      </c>
      <c r="C625" s="2" t="s">
        <v>628</v>
      </c>
      <c r="D625" s="2" t="s">
        <v>435</v>
      </c>
      <c r="E625" s="2" t="s">
        <v>500</v>
      </c>
      <c r="F625" s="2" t="s">
        <v>519</v>
      </c>
      <c r="G625" s="2" t="s">
        <v>548</v>
      </c>
      <c r="H625" s="2" t="s">
        <v>553</v>
      </c>
      <c r="I625" s="4">
        <v>1</v>
      </c>
      <c r="J625" s="5">
        <v>238000</v>
      </c>
      <c r="K625" s="5">
        <f>ROUND(IF(ISNUMBER(J625), I625*J625, I625),5)</f>
        <v>238000</v>
      </c>
    </row>
    <row r="626" spans="1:11" x14ac:dyDescent="0.3">
      <c r="A626" s="2" t="s">
        <v>11</v>
      </c>
      <c r="B626" s="3">
        <v>45979</v>
      </c>
      <c r="C626" s="2" t="s">
        <v>628</v>
      </c>
      <c r="D626" s="2" t="s">
        <v>435</v>
      </c>
      <c r="E626" s="2" t="s">
        <v>466</v>
      </c>
      <c r="F626" s="2" t="s">
        <v>540</v>
      </c>
      <c r="G626" s="2" t="s">
        <v>548</v>
      </c>
      <c r="H626" s="2" t="s">
        <v>553</v>
      </c>
      <c r="I626" s="4">
        <v>4</v>
      </c>
      <c r="J626" s="5">
        <v>62000</v>
      </c>
      <c r="K626" s="5">
        <f>ROUND(IF(ISNUMBER(J626), I626*J626, I626),5)</f>
        <v>248000</v>
      </c>
    </row>
    <row r="627" spans="1:11" x14ac:dyDescent="0.3">
      <c r="A627" s="2" t="s">
        <v>11</v>
      </c>
      <c r="B627" s="3">
        <v>45979</v>
      </c>
      <c r="C627" s="2" t="s">
        <v>629</v>
      </c>
      <c r="D627" s="2" t="s">
        <v>866</v>
      </c>
      <c r="E627" s="2" t="s">
        <v>500</v>
      </c>
      <c r="F627" s="2" t="s">
        <v>519</v>
      </c>
      <c r="G627" s="2" t="s">
        <v>548</v>
      </c>
      <c r="H627" s="2" t="s">
        <v>553</v>
      </c>
      <c r="I627" s="4">
        <v>1</v>
      </c>
      <c r="J627" s="5">
        <v>202000</v>
      </c>
      <c r="K627" s="5">
        <f>ROUND(IF(ISNUMBER(J627), I627*J627, I627),5)</f>
        <v>202000</v>
      </c>
    </row>
    <row r="628" spans="1:11" x14ac:dyDescent="0.3">
      <c r="A628" s="2" t="s">
        <v>11</v>
      </c>
      <c r="B628" s="3">
        <v>45979</v>
      </c>
      <c r="C628" s="2" t="s">
        <v>629</v>
      </c>
      <c r="D628" s="2" t="s">
        <v>866</v>
      </c>
      <c r="E628" s="2" t="s">
        <v>447</v>
      </c>
      <c r="F628" s="2" t="s">
        <v>540</v>
      </c>
      <c r="G628" s="2" t="s">
        <v>548</v>
      </c>
      <c r="H628" s="2" t="s">
        <v>553</v>
      </c>
      <c r="I628" s="4">
        <v>2</v>
      </c>
      <c r="J628" s="5">
        <v>35000</v>
      </c>
      <c r="K628" s="5">
        <f>ROUND(IF(ISNUMBER(J628), I628*J628, I628),5)</f>
        <v>70000</v>
      </c>
    </row>
    <row r="629" spans="1:11" x14ac:dyDescent="0.3">
      <c r="A629" s="2" t="s">
        <v>11</v>
      </c>
      <c r="B629" s="3">
        <v>45979</v>
      </c>
      <c r="C629" s="2" t="s">
        <v>630</v>
      </c>
      <c r="D629" s="2" t="s">
        <v>313</v>
      </c>
      <c r="E629" s="2" t="s">
        <v>480</v>
      </c>
      <c r="F629" s="2" t="s">
        <v>542</v>
      </c>
      <c r="G629" s="2" t="s">
        <v>550</v>
      </c>
      <c r="H629" s="2" t="s">
        <v>553</v>
      </c>
      <c r="I629" s="4">
        <v>3</v>
      </c>
      <c r="J629" s="5">
        <v>7000</v>
      </c>
      <c r="K629" s="5">
        <f>ROUND(IF(ISNUMBER(J629), I629*J629, I629),5)</f>
        <v>21000</v>
      </c>
    </row>
    <row r="630" spans="1:11" x14ac:dyDescent="0.3">
      <c r="A630" s="2" t="s">
        <v>11</v>
      </c>
      <c r="B630" s="3">
        <v>45980</v>
      </c>
      <c r="C630" s="2" t="s">
        <v>631</v>
      </c>
      <c r="D630" s="2" t="s">
        <v>862</v>
      </c>
      <c r="E630" s="2" t="s">
        <v>442</v>
      </c>
      <c r="F630" s="2" t="s">
        <v>540</v>
      </c>
      <c r="G630" s="2" t="s">
        <v>549</v>
      </c>
      <c r="H630" s="2" t="s">
        <v>553</v>
      </c>
      <c r="I630" s="4">
        <v>1</v>
      </c>
      <c r="J630" s="5">
        <v>58000</v>
      </c>
      <c r="K630" s="5">
        <f>ROUND(IF(ISNUMBER(J630), I630*J630, I630),5)</f>
        <v>58000</v>
      </c>
    </row>
    <row r="631" spans="1:11" x14ac:dyDescent="0.3">
      <c r="A631" s="2" t="s">
        <v>11</v>
      </c>
      <c r="B631" s="3">
        <v>45980</v>
      </c>
      <c r="C631" s="2" t="s">
        <v>632</v>
      </c>
      <c r="D631" s="2" t="s">
        <v>867</v>
      </c>
      <c r="E631" s="2" t="s">
        <v>465</v>
      </c>
      <c r="F631" s="2" t="s">
        <v>544</v>
      </c>
      <c r="G631" s="2" t="s">
        <v>551</v>
      </c>
      <c r="H631" s="2" t="s">
        <v>553</v>
      </c>
      <c r="I631" s="4">
        <v>1</v>
      </c>
      <c r="J631" s="5">
        <v>205000</v>
      </c>
      <c r="K631" s="5">
        <f>ROUND(IF(ISNUMBER(J631), I631*J631, I631),5)</f>
        <v>205000</v>
      </c>
    </row>
    <row r="632" spans="1:11" x14ac:dyDescent="0.3">
      <c r="A632" s="2" t="s">
        <v>11</v>
      </c>
      <c r="B632" s="3">
        <v>45980</v>
      </c>
      <c r="C632" s="2" t="s">
        <v>632</v>
      </c>
      <c r="D632" s="2" t="s">
        <v>867</v>
      </c>
      <c r="E632" s="2" t="s">
        <v>472</v>
      </c>
      <c r="F632" s="2" t="s">
        <v>544</v>
      </c>
      <c r="G632" s="2" t="s">
        <v>551</v>
      </c>
      <c r="H632" s="2" t="s">
        <v>553</v>
      </c>
      <c r="I632" s="4">
        <v>1</v>
      </c>
      <c r="J632" s="5">
        <v>41000</v>
      </c>
      <c r="K632" s="5">
        <f>ROUND(IF(ISNUMBER(J632), I632*J632, I632),5)</f>
        <v>41000</v>
      </c>
    </row>
    <row r="633" spans="1:11" x14ac:dyDescent="0.3">
      <c r="A633" s="2" t="s">
        <v>11</v>
      </c>
      <c r="B633" s="3">
        <v>45981</v>
      </c>
      <c r="C633" s="2" t="s">
        <v>633</v>
      </c>
      <c r="D633" s="2" t="s">
        <v>374</v>
      </c>
      <c r="E633" s="2" t="s">
        <v>510</v>
      </c>
      <c r="F633" s="2" t="s">
        <v>542</v>
      </c>
      <c r="G633" s="2" t="s">
        <v>551</v>
      </c>
      <c r="H633" s="2" t="s">
        <v>554</v>
      </c>
      <c r="I633" s="4">
        <v>2</v>
      </c>
      <c r="J633" s="5">
        <v>20650</v>
      </c>
      <c r="K633" s="5">
        <f>ROUND(IF(ISNUMBER(J633), I633*J633, I633),5)</f>
        <v>41300</v>
      </c>
    </row>
    <row r="634" spans="1:11" x14ac:dyDescent="0.3">
      <c r="A634" s="2" t="s">
        <v>11</v>
      </c>
      <c r="B634" s="3">
        <v>45981</v>
      </c>
      <c r="C634" s="2" t="s">
        <v>634</v>
      </c>
      <c r="D634" s="2" t="s">
        <v>425</v>
      </c>
      <c r="E634" s="2" t="s">
        <v>510</v>
      </c>
      <c r="F634" s="2" t="s">
        <v>542</v>
      </c>
      <c r="G634" s="2" t="s">
        <v>550</v>
      </c>
      <c r="H634" s="2" t="s">
        <v>554</v>
      </c>
      <c r="I634" s="4">
        <v>1</v>
      </c>
      <c r="J634" s="5">
        <v>26000</v>
      </c>
      <c r="K634" s="5">
        <f>ROUND(IF(ISNUMBER(J634), I634*J634, I634),5)</f>
        <v>26000</v>
      </c>
    </row>
    <row r="635" spans="1:11" x14ac:dyDescent="0.3">
      <c r="A635" s="2" t="s">
        <v>11</v>
      </c>
      <c r="B635" s="3">
        <v>45981</v>
      </c>
      <c r="C635" s="2" t="s">
        <v>634</v>
      </c>
      <c r="D635" s="2" t="s">
        <v>425</v>
      </c>
      <c r="E635" s="2" t="s">
        <v>444</v>
      </c>
      <c r="F635" s="2" t="s">
        <v>519</v>
      </c>
      <c r="G635" s="2" t="s">
        <v>550</v>
      </c>
      <c r="H635" s="2" t="s">
        <v>554</v>
      </c>
      <c r="I635" s="4">
        <v>1</v>
      </c>
      <c r="J635" s="5">
        <v>153000</v>
      </c>
      <c r="K635" s="5">
        <f>ROUND(IF(ISNUMBER(J635), I635*J635, I635),5)</f>
        <v>153000</v>
      </c>
    </row>
    <row r="636" spans="1:11" x14ac:dyDescent="0.3">
      <c r="A636" s="2" t="s">
        <v>11</v>
      </c>
      <c r="B636" s="3">
        <v>45982</v>
      </c>
      <c r="C636" s="2" t="s">
        <v>635</v>
      </c>
      <c r="D636" s="2" t="s">
        <v>868</v>
      </c>
      <c r="E636" s="2" t="s">
        <v>449</v>
      </c>
      <c r="F636" s="2" t="s">
        <v>450</v>
      </c>
      <c r="G636" s="2" t="s">
        <v>550</v>
      </c>
      <c r="H636" s="2" t="s">
        <v>553</v>
      </c>
      <c r="I636" s="4">
        <v>6</v>
      </c>
      <c r="J636" s="5">
        <v>40000</v>
      </c>
      <c r="K636" s="5">
        <f>ROUND(IF(ISNUMBER(J636), I636*J636, I636),5)</f>
        <v>240000</v>
      </c>
    </row>
    <row r="637" spans="1:11" x14ac:dyDescent="0.3">
      <c r="A637" s="2" t="s">
        <v>11</v>
      </c>
      <c r="B637" s="3">
        <v>45982</v>
      </c>
      <c r="C637" s="2" t="s">
        <v>635</v>
      </c>
      <c r="D637" s="2" t="s">
        <v>868</v>
      </c>
      <c r="E637" s="2" t="s">
        <v>511</v>
      </c>
      <c r="F637" s="2" t="s">
        <v>542</v>
      </c>
      <c r="G637" s="2" t="s">
        <v>550</v>
      </c>
      <c r="H637" s="2" t="s">
        <v>553</v>
      </c>
      <c r="I637" s="4">
        <v>8</v>
      </c>
      <c r="J637" s="5">
        <v>19500</v>
      </c>
      <c r="K637" s="5">
        <f>ROUND(IF(ISNUMBER(J637), I637*J637, I637),5)</f>
        <v>156000</v>
      </c>
    </row>
    <row r="638" spans="1:11" x14ac:dyDescent="0.3">
      <c r="A638" s="2" t="s">
        <v>11</v>
      </c>
      <c r="B638" s="3">
        <v>45982</v>
      </c>
      <c r="C638" s="2" t="s">
        <v>635</v>
      </c>
      <c r="D638" s="2" t="s">
        <v>868</v>
      </c>
      <c r="E638" s="2" t="s">
        <v>916</v>
      </c>
      <c r="F638" s="2" t="s">
        <v>544</v>
      </c>
      <c r="G638" s="2" t="s">
        <v>550</v>
      </c>
      <c r="H638" s="2" t="s">
        <v>553</v>
      </c>
      <c r="I638" s="4">
        <v>6</v>
      </c>
      <c r="J638" s="5">
        <v>20000</v>
      </c>
      <c r="K638" s="5">
        <f>ROUND(IF(ISNUMBER(J638), I638*J638, I638),5)</f>
        <v>120000</v>
      </c>
    </row>
    <row r="639" spans="1:11" x14ac:dyDescent="0.3">
      <c r="A639" s="2" t="s">
        <v>11</v>
      </c>
      <c r="B639" s="3">
        <v>45982</v>
      </c>
      <c r="C639" s="2" t="s">
        <v>636</v>
      </c>
      <c r="D639" s="2" t="s">
        <v>869</v>
      </c>
      <c r="E639" s="2" t="s">
        <v>531</v>
      </c>
      <c r="F639" s="2" t="s">
        <v>542</v>
      </c>
      <c r="G639" s="2" t="s">
        <v>550</v>
      </c>
      <c r="H639" s="2" t="s">
        <v>554</v>
      </c>
      <c r="I639" s="4">
        <v>3</v>
      </c>
      <c r="J639" s="5">
        <v>12000</v>
      </c>
      <c r="K639" s="5">
        <f>ROUND(IF(ISNUMBER(J639), I639*J639, I639),5)</f>
        <v>36000</v>
      </c>
    </row>
    <row r="640" spans="1:11" x14ac:dyDescent="0.3">
      <c r="A640" s="2" t="s">
        <v>11</v>
      </c>
      <c r="B640" s="3">
        <v>45982</v>
      </c>
      <c r="C640" s="2" t="s">
        <v>636</v>
      </c>
      <c r="D640" s="2" t="s">
        <v>869</v>
      </c>
      <c r="E640" s="2" t="s">
        <v>493</v>
      </c>
      <c r="F640" s="2" t="s">
        <v>542</v>
      </c>
      <c r="G640" s="2" t="s">
        <v>550</v>
      </c>
      <c r="H640" s="2" t="s">
        <v>554</v>
      </c>
      <c r="I640" s="4">
        <v>3</v>
      </c>
      <c r="J640" s="5">
        <v>19000</v>
      </c>
      <c r="K640" s="5">
        <f>ROUND(IF(ISNUMBER(J640), I640*J640, I640),5)</f>
        <v>57000</v>
      </c>
    </row>
    <row r="641" spans="1:11" x14ac:dyDescent="0.3">
      <c r="A641" s="2" t="s">
        <v>11</v>
      </c>
      <c r="B641" s="3">
        <v>45985</v>
      </c>
      <c r="C641" s="2" t="s">
        <v>637</v>
      </c>
      <c r="D641" s="2" t="s">
        <v>312</v>
      </c>
      <c r="E641" s="2" t="s">
        <v>505</v>
      </c>
      <c r="F641" s="2" t="s">
        <v>519</v>
      </c>
      <c r="G641" s="2" t="s">
        <v>548</v>
      </c>
      <c r="H641" s="2" t="s">
        <v>553</v>
      </c>
      <c r="I641" s="4">
        <v>1</v>
      </c>
      <c r="J641" s="5">
        <v>317000</v>
      </c>
      <c r="K641" s="5">
        <f>ROUND(IF(ISNUMBER(J641), I641*J641, I641),5)</f>
        <v>317000</v>
      </c>
    </row>
    <row r="642" spans="1:11" x14ac:dyDescent="0.3">
      <c r="A642" s="2" t="s">
        <v>11</v>
      </c>
      <c r="B642" s="3">
        <v>45985</v>
      </c>
      <c r="C642" s="2" t="s">
        <v>637</v>
      </c>
      <c r="D642" s="2" t="s">
        <v>312</v>
      </c>
      <c r="E642" s="2" t="s">
        <v>912</v>
      </c>
      <c r="F642" s="2" t="s">
        <v>540</v>
      </c>
      <c r="G642" s="2" t="s">
        <v>548</v>
      </c>
      <c r="H642" s="2" t="s">
        <v>553</v>
      </c>
      <c r="I642" s="4">
        <v>4</v>
      </c>
      <c r="J642" s="5">
        <v>81000</v>
      </c>
      <c r="K642" s="5">
        <f>ROUND(IF(ISNUMBER(J642), I642*J642, I642),5)</f>
        <v>324000</v>
      </c>
    </row>
    <row r="643" spans="1:11" x14ac:dyDescent="0.3">
      <c r="A643" s="2" t="s">
        <v>11</v>
      </c>
      <c r="B643" s="3">
        <v>45986</v>
      </c>
      <c r="C643" s="2" t="s">
        <v>638</v>
      </c>
      <c r="D643" s="2" t="s">
        <v>870</v>
      </c>
      <c r="E643" s="2" t="s">
        <v>481</v>
      </c>
      <c r="F643" s="2" t="s">
        <v>519</v>
      </c>
      <c r="G643" s="2" t="s">
        <v>551</v>
      </c>
      <c r="H643" s="2" t="s">
        <v>554</v>
      </c>
      <c r="I643" s="4">
        <v>1</v>
      </c>
      <c r="J643" s="5">
        <v>623000</v>
      </c>
      <c r="K643" s="5">
        <f>ROUND(IF(ISNUMBER(J643), I643*J643, I643),5)</f>
        <v>623000</v>
      </c>
    </row>
    <row r="644" spans="1:11" x14ac:dyDescent="0.3">
      <c r="A644" s="2" t="s">
        <v>11</v>
      </c>
      <c r="B644" s="3">
        <v>45986</v>
      </c>
      <c r="C644" s="2" t="s">
        <v>638</v>
      </c>
      <c r="D644" s="2" t="s">
        <v>870</v>
      </c>
      <c r="E644" s="2" t="s">
        <v>447</v>
      </c>
      <c r="F644" s="2" t="s">
        <v>540</v>
      </c>
      <c r="G644" s="2" t="s">
        <v>551</v>
      </c>
      <c r="H644" s="2" t="s">
        <v>554</v>
      </c>
      <c r="I644" s="4">
        <v>2</v>
      </c>
      <c r="J644" s="5"/>
      <c r="K644" s="5"/>
    </row>
    <row r="645" spans="1:11" x14ac:dyDescent="0.3">
      <c r="A645" s="2" t="s">
        <v>11</v>
      </c>
      <c r="B645" s="3">
        <v>45986</v>
      </c>
      <c r="C645" s="2" t="s">
        <v>638</v>
      </c>
      <c r="D645" s="2" t="s">
        <v>870</v>
      </c>
      <c r="E645" s="2" t="s">
        <v>483</v>
      </c>
      <c r="F645" s="2" t="s">
        <v>519</v>
      </c>
      <c r="G645" s="2" t="s">
        <v>551</v>
      </c>
      <c r="H645" s="2" t="s">
        <v>554</v>
      </c>
      <c r="I645" s="4">
        <v>1</v>
      </c>
      <c r="J645" s="5"/>
      <c r="K645" s="5"/>
    </row>
    <row r="646" spans="1:11" x14ac:dyDescent="0.3">
      <c r="A646" s="2" t="s">
        <v>11</v>
      </c>
      <c r="B646" s="3">
        <v>45987</v>
      </c>
      <c r="C646" s="2" t="s">
        <v>639</v>
      </c>
      <c r="D646" s="2" t="s">
        <v>858</v>
      </c>
      <c r="E646" s="2" t="s">
        <v>487</v>
      </c>
      <c r="F646" s="2" t="s">
        <v>542</v>
      </c>
      <c r="G646" s="2" t="s">
        <v>550</v>
      </c>
      <c r="H646" s="2" t="s">
        <v>554</v>
      </c>
      <c r="I646" s="4">
        <v>2</v>
      </c>
      <c r="J646" s="5">
        <v>23850</v>
      </c>
      <c r="K646" s="5">
        <f>ROUND(IF(ISNUMBER(J646), I646*J646, I646),5)</f>
        <v>47700</v>
      </c>
    </row>
    <row r="647" spans="1:11" x14ac:dyDescent="0.3">
      <c r="A647" s="2" t="s">
        <v>11</v>
      </c>
      <c r="B647" s="3">
        <v>45987</v>
      </c>
      <c r="C647" s="2" t="s">
        <v>640</v>
      </c>
      <c r="D647" s="2" t="s">
        <v>313</v>
      </c>
      <c r="E647" s="2" t="s">
        <v>446</v>
      </c>
      <c r="F647" s="2" t="s">
        <v>519</v>
      </c>
      <c r="G647" s="2" t="s">
        <v>550</v>
      </c>
      <c r="H647" s="2" t="s">
        <v>553</v>
      </c>
      <c r="I647" s="4">
        <v>2</v>
      </c>
      <c r="J647" s="5">
        <v>64000</v>
      </c>
      <c r="K647" s="5">
        <f>ROUND(IF(ISNUMBER(J647), I647*J647, I647),5)</f>
        <v>128000</v>
      </c>
    </row>
    <row r="648" spans="1:11" x14ac:dyDescent="0.3">
      <c r="A648" s="2" t="s">
        <v>11</v>
      </c>
      <c r="B648" s="3">
        <v>45987</v>
      </c>
      <c r="C648" s="2" t="s">
        <v>641</v>
      </c>
      <c r="D648" s="2" t="s">
        <v>329</v>
      </c>
      <c r="E648" s="2" t="s">
        <v>444</v>
      </c>
      <c r="F648" s="2" t="s">
        <v>519</v>
      </c>
      <c r="G648" s="2" t="s">
        <v>548</v>
      </c>
      <c r="H648" s="2" t="s">
        <v>553</v>
      </c>
      <c r="I648" s="4">
        <v>1</v>
      </c>
      <c r="J648" s="5">
        <v>128000</v>
      </c>
      <c r="K648" s="5">
        <f>ROUND(IF(ISNUMBER(J648), I648*J648, I648),5)</f>
        <v>128000</v>
      </c>
    </row>
    <row r="649" spans="1:11" x14ac:dyDescent="0.3">
      <c r="A649" s="2" t="s">
        <v>11</v>
      </c>
      <c r="B649" s="3">
        <v>45987</v>
      </c>
      <c r="C649" s="2" t="s">
        <v>641</v>
      </c>
      <c r="D649" s="2" t="s">
        <v>329</v>
      </c>
      <c r="E649" s="2" t="s">
        <v>482</v>
      </c>
      <c r="F649" s="2" t="s">
        <v>540</v>
      </c>
      <c r="G649" s="2" t="s">
        <v>548</v>
      </c>
      <c r="H649" s="2" t="s">
        <v>553</v>
      </c>
      <c r="I649" s="4">
        <v>3</v>
      </c>
      <c r="J649" s="5">
        <v>111000</v>
      </c>
      <c r="K649" s="5">
        <f>ROUND(IF(ISNUMBER(J649), I649*J649, I649),5)</f>
        <v>333000</v>
      </c>
    </row>
    <row r="650" spans="1:11" x14ac:dyDescent="0.3">
      <c r="A650" s="2" t="s">
        <v>11</v>
      </c>
      <c r="B650" s="3">
        <v>45987</v>
      </c>
      <c r="C650" s="2" t="s">
        <v>641</v>
      </c>
      <c r="D650" s="2" t="s">
        <v>329</v>
      </c>
      <c r="E650" s="2" t="s">
        <v>444</v>
      </c>
      <c r="F650" s="2" t="s">
        <v>519</v>
      </c>
      <c r="G650" s="2" t="s">
        <v>548</v>
      </c>
      <c r="H650" s="2" t="s">
        <v>553</v>
      </c>
      <c r="I650" s="4">
        <v>1</v>
      </c>
      <c r="J650" s="5">
        <v>128000</v>
      </c>
      <c r="K650" s="5">
        <f>ROUND(IF(ISNUMBER(J650), I650*J650, I650),5)</f>
        <v>128000</v>
      </c>
    </row>
    <row r="651" spans="1:11" x14ac:dyDescent="0.3">
      <c r="A651" s="2" t="s">
        <v>11</v>
      </c>
      <c r="B651" s="3">
        <v>45987</v>
      </c>
      <c r="C651" s="2" t="s">
        <v>641</v>
      </c>
      <c r="D651" s="2" t="s">
        <v>329</v>
      </c>
      <c r="E651" s="2" t="s">
        <v>451</v>
      </c>
      <c r="F651" s="2" t="s">
        <v>540</v>
      </c>
      <c r="G651" s="2" t="s">
        <v>548</v>
      </c>
      <c r="H651" s="2" t="s">
        <v>553</v>
      </c>
      <c r="I651" s="4">
        <v>4</v>
      </c>
      <c r="J651" s="5">
        <v>123000</v>
      </c>
      <c r="K651" s="5">
        <f>ROUND(IF(ISNUMBER(J651), I651*J651, I651),5)</f>
        <v>492000</v>
      </c>
    </row>
    <row r="652" spans="1:11" x14ac:dyDescent="0.3">
      <c r="A652" s="2" t="s">
        <v>11</v>
      </c>
      <c r="B652" s="3">
        <v>45988</v>
      </c>
      <c r="C652" s="2" t="s">
        <v>642</v>
      </c>
      <c r="D652" s="2" t="s">
        <v>313</v>
      </c>
      <c r="E652" s="2" t="s">
        <v>488</v>
      </c>
      <c r="F652" s="2" t="s">
        <v>519</v>
      </c>
      <c r="G652" s="2" t="s">
        <v>549</v>
      </c>
      <c r="H652" s="2" t="s">
        <v>553</v>
      </c>
      <c r="I652" s="4">
        <v>2</v>
      </c>
      <c r="J652" s="5">
        <v>93000</v>
      </c>
      <c r="K652" s="5">
        <f>ROUND(IF(ISNUMBER(J652), I652*J652, I652),5)</f>
        <v>186000</v>
      </c>
    </row>
    <row r="653" spans="1:11" x14ac:dyDescent="0.3">
      <c r="A653" s="2" t="s">
        <v>11</v>
      </c>
      <c r="B653" s="3">
        <v>45988</v>
      </c>
      <c r="C653" s="2" t="s">
        <v>643</v>
      </c>
      <c r="D653" s="2" t="s">
        <v>313</v>
      </c>
      <c r="E653" s="2" t="s">
        <v>511</v>
      </c>
      <c r="F653" s="2" t="s">
        <v>542</v>
      </c>
      <c r="G653" s="2" t="s">
        <v>550</v>
      </c>
      <c r="H653" s="2" t="s">
        <v>553</v>
      </c>
      <c r="I653" s="4">
        <v>1</v>
      </c>
      <c r="J653" s="5">
        <v>16950</v>
      </c>
      <c r="K653" s="5">
        <f>ROUND(IF(ISNUMBER(J653), I653*J653, I653),5)</f>
        <v>16950</v>
      </c>
    </row>
    <row r="654" spans="1:11" x14ac:dyDescent="0.3">
      <c r="A654" s="2" t="s">
        <v>11</v>
      </c>
      <c r="B654" s="3">
        <v>45988</v>
      </c>
      <c r="C654" s="2" t="s">
        <v>643</v>
      </c>
      <c r="D654" s="2" t="s">
        <v>313</v>
      </c>
      <c r="E654" s="2" t="s">
        <v>510</v>
      </c>
      <c r="F654" s="2" t="s">
        <v>542</v>
      </c>
      <c r="G654" s="2" t="s">
        <v>550</v>
      </c>
      <c r="H654" s="2" t="s">
        <v>553</v>
      </c>
      <c r="I654" s="4">
        <v>2</v>
      </c>
      <c r="J654" s="5">
        <v>22000</v>
      </c>
      <c r="K654" s="5">
        <f>ROUND(IF(ISNUMBER(J654), I654*J654, I654),5)</f>
        <v>44000</v>
      </c>
    </row>
    <row r="655" spans="1:11" x14ac:dyDescent="0.3">
      <c r="A655" s="2" t="s">
        <v>11</v>
      </c>
      <c r="B655" s="3">
        <v>45988</v>
      </c>
      <c r="C655" s="2" t="s">
        <v>644</v>
      </c>
      <c r="D655" s="2" t="s">
        <v>313</v>
      </c>
      <c r="E655" s="2" t="s">
        <v>912</v>
      </c>
      <c r="F655" s="2" t="s">
        <v>540</v>
      </c>
      <c r="G655" s="2" t="s">
        <v>549</v>
      </c>
      <c r="H655" s="2" t="s">
        <v>553</v>
      </c>
      <c r="I655" s="4">
        <v>2</v>
      </c>
      <c r="J655" s="5">
        <v>98000</v>
      </c>
      <c r="K655" s="5">
        <f>ROUND(IF(ISNUMBER(J655), I655*J655, I655),5)</f>
        <v>196000</v>
      </c>
    </row>
    <row r="656" spans="1:11" x14ac:dyDescent="0.3">
      <c r="A656" s="2" t="s">
        <v>11</v>
      </c>
      <c r="B656" s="3">
        <v>45988</v>
      </c>
      <c r="C656" s="2" t="s">
        <v>645</v>
      </c>
      <c r="D656" s="2" t="s">
        <v>313</v>
      </c>
      <c r="E656" s="2" t="s">
        <v>488</v>
      </c>
      <c r="F656" s="2" t="s">
        <v>519</v>
      </c>
      <c r="G656" s="2" t="s">
        <v>549</v>
      </c>
      <c r="H656" s="2" t="s">
        <v>553</v>
      </c>
      <c r="I656" s="4">
        <v>1</v>
      </c>
      <c r="J656" s="5">
        <v>86500</v>
      </c>
      <c r="K656" s="5">
        <f>ROUND(IF(ISNUMBER(J656), I656*J656, I656),5)</f>
        <v>86500</v>
      </c>
    </row>
    <row r="657" spans="1:11" x14ac:dyDescent="0.3">
      <c r="A657" s="2" t="s">
        <v>11</v>
      </c>
      <c r="B657" s="3">
        <v>45988</v>
      </c>
      <c r="C657" s="2" t="s">
        <v>646</v>
      </c>
      <c r="D657" s="2" t="s">
        <v>871</v>
      </c>
      <c r="E657" s="2" t="s">
        <v>465</v>
      </c>
      <c r="F657" s="2" t="s">
        <v>544</v>
      </c>
      <c r="G657" s="2" t="s">
        <v>551</v>
      </c>
      <c r="H657" s="2" t="s">
        <v>553</v>
      </c>
      <c r="I657" s="4">
        <v>1</v>
      </c>
      <c r="J657" s="5">
        <v>100000</v>
      </c>
      <c r="K657" s="5">
        <f>ROUND(IF(ISNUMBER(J657), I657*J657, I657),5)</f>
        <v>100000</v>
      </c>
    </row>
    <row r="658" spans="1:11" x14ac:dyDescent="0.3">
      <c r="A658" s="2" t="s">
        <v>11</v>
      </c>
      <c r="B658" s="3">
        <v>45989</v>
      </c>
      <c r="C658" s="2" t="s">
        <v>647</v>
      </c>
      <c r="D658" s="2" t="s">
        <v>872</v>
      </c>
      <c r="E658" s="2" t="s">
        <v>465</v>
      </c>
      <c r="F658" s="2" t="s">
        <v>544</v>
      </c>
      <c r="G658" s="2" t="s">
        <v>551</v>
      </c>
      <c r="H658" s="2" t="s">
        <v>553</v>
      </c>
      <c r="I658" s="4">
        <v>1</v>
      </c>
      <c r="J658" s="5">
        <v>292000</v>
      </c>
      <c r="K658" s="5">
        <f>ROUND(IF(ISNUMBER(J658), I658*J658, I658),5)</f>
        <v>292000</v>
      </c>
    </row>
    <row r="659" spans="1:11" x14ac:dyDescent="0.3">
      <c r="A659" s="2" t="s">
        <v>11</v>
      </c>
      <c r="B659" s="3">
        <v>45989</v>
      </c>
      <c r="C659" s="2" t="s">
        <v>648</v>
      </c>
      <c r="D659" s="2" t="s">
        <v>872</v>
      </c>
      <c r="E659" s="2" t="s">
        <v>465</v>
      </c>
      <c r="F659" s="2" t="s">
        <v>544</v>
      </c>
      <c r="G659" s="2" t="s">
        <v>551</v>
      </c>
      <c r="H659" s="2" t="s">
        <v>553</v>
      </c>
      <c r="I659" s="4">
        <v>1</v>
      </c>
      <c r="J659" s="5">
        <v>65000</v>
      </c>
      <c r="K659" s="5">
        <f>ROUND(IF(ISNUMBER(J659), I659*J659, I659),5)</f>
        <v>65000</v>
      </c>
    </row>
    <row r="660" spans="1:11" x14ac:dyDescent="0.3">
      <c r="A660" s="2" t="s">
        <v>11</v>
      </c>
      <c r="B660" s="3">
        <v>45989</v>
      </c>
      <c r="C660" s="2" t="s">
        <v>649</v>
      </c>
      <c r="D660" s="2" t="s">
        <v>872</v>
      </c>
      <c r="E660" s="2" t="s">
        <v>465</v>
      </c>
      <c r="F660" s="2" t="s">
        <v>544</v>
      </c>
      <c r="G660" s="2" t="s">
        <v>551</v>
      </c>
      <c r="H660" s="2" t="s">
        <v>553</v>
      </c>
      <c r="I660" s="4">
        <v>1</v>
      </c>
      <c r="J660" s="5">
        <v>172000</v>
      </c>
      <c r="K660" s="5">
        <f>ROUND(IF(ISNUMBER(J660), I660*J660, I660),5)</f>
        <v>172000</v>
      </c>
    </row>
    <row r="661" spans="1:11" x14ac:dyDescent="0.3">
      <c r="A661" s="2" t="s">
        <v>11</v>
      </c>
      <c r="B661" s="3">
        <v>45992</v>
      </c>
      <c r="C661" s="2" t="s">
        <v>650</v>
      </c>
      <c r="D661" s="2" t="s">
        <v>873</v>
      </c>
      <c r="E661" s="2" t="s">
        <v>534</v>
      </c>
      <c r="F661" s="2" t="s">
        <v>519</v>
      </c>
      <c r="G661" s="2" t="s">
        <v>551</v>
      </c>
      <c r="H661" s="2" t="s">
        <v>553</v>
      </c>
      <c r="I661" s="4">
        <v>1</v>
      </c>
      <c r="J661" s="5">
        <v>480000</v>
      </c>
      <c r="K661" s="5">
        <f>ROUND(IF(ISNUMBER(J661), I661*J661, I661),5)</f>
        <v>480000</v>
      </c>
    </row>
    <row r="662" spans="1:11" x14ac:dyDescent="0.3">
      <c r="A662" s="2" t="s">
        <v>11</v>
      </c>
      <c r="B662" s="3">
        <v>45992</v>
      </c>
      <c r="C662" s="2" t="s">
        <v>650</v>
      </c>
      <c r="D662" s="2" t="s">
        <v>873</v>
      </c>
      <c r="E662" s="2" t="s">
        <v>482</v>
      </c>
      <c r="F662" s="2" t="s">
        <v>540</v>
      </c>
      <c r="G662" s="2" t="s">
        <v>551</v>
      </c>
      <c r="H662" s="2" t="s">
        <v>553</v>
      </c>
      <c r="I662" s="4">
        <v>2</v>
      </c>
      <c r="J662" s="5"/>
      <c r="K662" s="5"/>
    </row>
    <row r="663" spans="1:11" x14ac:dyDescent="0.3">
      <c r="A663" s="2" t="s">
        <v>11</v>
      </c>
      <c r="B663" s="3">
        <v>45992</v>
      </c>
      <c r="C663" s="2" t="s">
        <v>650</v>
      </c>
      <c r="D663" s="2" t="s">
        <v>873</v>
      </c>
      <c r="E663" s="2" t="s">
        <v>534</v>
      </c>
      <c r="F663" s="2" t="s">
        <v>519</v>
      </c>
      <c r="G663" s="2" t="s">
        <v>551</v>
      </c>
      <c r="H663" s="2" t="s">
        <v>553</v>
      </c>
      <c r="I663" s="4">
        <v>1</v>
      </c>
      <c r="J663" s="5">
        <v>592000</v>
      </c>
      <c r="K663" s="5">
        <f>ROUND(IF(ISNUMBER(J663), I663*J663, I663),5)</f>
        <v>592000</v>
      </c>
    </row>
    <row r="664" spans="1:11" x14ac:dyDescent="0.3">
      <c r="A664" s="2" t="s">
        <v>11</v>
      </c>
      <c r="B664" s="3">
        <v>45992</v>
      </c>
      <c r="C664" s="2" t="s">
        <v>650</v>
      </c>
      <c r="D664" s="2" t="s">
        <v>873</v>
      </c>
      <c r="E664" s="2" t="s">
        <v>482</v>
      </c>
      <c r="F664" s="2" t="s">
        <v>540</v>
      </c>
      <c r="G664" s="2" t="s">
        <v>551</v>
      </c>
      <c r="H664" s="2" t="s">
        <v>553</v>
      </c>
      <c r="I664" s="4">
        <v>3</v>
      </c>
      <c r="J664" s="5"/>
      <c r="K664" s="5"/>
    </row>
    <row r="665" spans="1:11" x14ac:dyDescent="0.3">
      <c r="A665" s="2" t="s">
        <v>11</v>
      </c>
      <c r="B665" s="3">
        <v>45992</v>
      </c>
      <c r="C665" s="2" t="s">
        <v>651</v>
      </c>
      <c r="D665" s="2" t="s">
        <v>312</v>
      </c>
      <c r="E665" s="2" t="s">
        <v>517</v>
      </c>
      <c r="F665" s="2" t="s">
        <v>519</v>
      </c>
      <c r="G665" s="2" t="s">
        <v>548</v>
      </c>
      <c r="H665" s="2" t="s">
        <v>553</v>
      </c>
      <c r="I665" s="4">
        <v>1</v>
      </c>
      <c r="J665" s="5">
        <v>198000</v>
      </c>
      <c r="K665" s="5">
        <f>ROUND(IF(ISNUMBER(J665), I665*J665, I665),5)</f>
        <v>198000</v>
      </c>
    </row>
    <row r="666" spans="1:11" x14ac:dyDescent="0.3">
      <c r="A666" s="2" t="s">
        <v>11</v>
      </c>
      <c r="B666" s="3">
        <v>45992</v>
      </c>
      <c r="C666" s="2" t="s">
        <v>651</v>
      </c>
      <c r="D666" s="2" t="s">
        <v>312</v>
      </c>
      <c r="E666" s="2" t="s">
        <v>442</v>
      </c>
      <c r="F666" s="2" t="s">
        <v>540</v>
      </c>
      <c r="G666" s="2" t="s">
        <v>548</v>
      </c>
      <c r="H666" s="2" t="s">
        <v>553</v>
      </c>
      <c r="I666" s="4">
        <v>4</v>
      </c>
      <c r="J666" s="5">
        <v>42500</v>
      </c>
      <c r="K666" s="5">
        <f>ROUND(IF(ISNUMBER(J666), I666*J666, I666),5)</f>
        <v>170000</v>
      </c>
    </row>
    <row r="667" spans="1:11" x14ac:dyDescent="0.3">
      <c r="A667" s="2" t="s">
        <v>11</v>
      </c>
      <c r="B667" s="3">
        <v>45992</v>
      </c>
      <c r="C667" s="2" t="s">
        <v>652</v>
      </c>
      <c r="D667" s="2" t="s">
        <v>312</v>
      </c>
      <c r="E667" s="2" t="s">
        <v>534</v>
      </c>
      <c r="F667" s="2" t="s">
        <v>519</v>
      </c>
      <c r="G667" s="2" t="s">
        <v>548</v>
      </c>
      <c r="H667" s="2" t="s">
        <v>553</v>
      </c>
      <c r="I667" s="4">
        <v>1</v>
      </c>
      <c r="J667" s="5">
        <v>335000</v>
      </c>
      <c r="K667" s="5">
        <f>ROUND(IF(ISNUMBER(J667), I667*J667, I667),5)</f>
        <v>335000</v>
      </c>
    </row>
    <row r="668" spans="1:11" x14ac:dyDescent="0.3">
      <c r="A668" s="2" t="s">
        <v>11</v>
      </c>
      <c r="B668" s="3">
        <v>45992</v>
      </c>
      <c r="C668" s="2" t="s">
        <v>652</v>
      </c>
      <c r="D668" s="2" t="s">
        <v>312</v>
      </c>
      <c r="E668" s="2" t="s">
        <v>442</v>
      </c>
      <c r="F668" s="2" t="s">
        <v>540</v>
      </c>
      <c r="G668" s="2" t="s">
        <v>548</v>
      </c>
      <c r="H668" s="2" t="s">
        <v>553</v>
      </c>
      <c r="I668" s="4">
        <v>3</v>
      </c>
      <c r="J668" s="5">
        <v>41000</v>
      </c>
      <c r="K668" s="5">
        <f>ROUND(IF(ISNUMBER(J668), I668*J668, I668),5)</f>
        <v>123000</v>
      </c>
    </row>
    <row r="669" spans="1:11" x14ac:dyDescent="0.3">
      <c r="A669" s="2" t="s">
        <v>11</v>
      </c>
      <c r="B669" s="3">
        <v>45992</v>
      </c>
      <c r="C669" s="2" t="s">
        <v>652</v>
      </c>
      <c r="D669" s="2" t="s">
        <v>312</v>
      </c>
      <c r="E669" s="2" t="s">
        <v>515</v>
      </c>
      <c r="F669" s="2" t="s">
        <v>519</v>
      </c>
      <c r="G669" s="2" t="s">
        <v>548</v>
      </c>
      <c r="H669" s="2" t="s">
        <v>553</v>
      </c>
      <c r="I669" s="4">
        <v>1</v>
      </c>
      <c r="J669" s="5"/>
      <c r="K669" s="5"/>
    </row>
    <row r="670" spans="1:11" x14ac:dyDescent="0.3">
      <c r="A670" s="2" t="s">
        <v>11</v>
      </c>
      <c r="B670" s="3">
        <v>45992</v>
      </c>
      <c r="C670" s="2" t="s">
        <v>653</v>
      </c>
      <c r="D670" s="2" t="s">
        <v>347</v>
      </c>
      <c r="E670" s="2" t="s">
        <v>442</v>
      </c>
      <c r="F670" s="2" t="s">
        <v>540</v>
      </c>
      <c r="G670" s="2" t="s">
        <v>551</v>
      </c>
      <c r="H670" s="2" t="s">
        <v>553</v>
      </c>
      <c r="I670" s="4">
        <v>4</v>
      </c>
      <c r="J670" s="5">
        <v>45000</v>
      </c>
      <c r="K670" s="5">
        <f>ROUND(IF(ISNUMBER(J670), I670*J670, I670),5)</f>
        <v>180000</v>
      </c>
    </row>
    <row r="671" spans="1:11" x14ac:dyDescent="0.3">
      <c r="A671" s="2" t="s">
        <v>11</v>
      </c>
      <c r="B671" s="3">
        <v>45992</v>
      </c>
      <c r="C671" s="2" t="s">
        <v>654</v>
      </c>
      <c r="D671" s="2" t="s">
        <v>421</v>
      </c>
      <c r="E671" s="2" t="s">
        <v>488</v>
      </c>
      <c r="F671" s="2" t="s">
        <v>519</v>
      </c>
      <c r="G671" s="2" t="s">
        <v>548</v>
      </c>
      <c r="H671" s="2" t="s">
        <v>553</v>
      </c>
      <c r="I671" s="4">
        <v>1</v>
      </c>
      <c r="J671" s="5">
        <v>92000</v>
      </c>
      <c r="K671" s="5">
        <f>ROUND(IF(ISNUMBER(J671), I671*J671, I671),5)</f>
        <v>92000</v>
      </c>
    </row>
    <row r="672" spans="1:11" x14ac:dyDescent="0.3">
      <c r="A672" s="2" t="s">
        <v>11</v>
      </c>
      <c r="B672" s="3">
        <v>45992</v>
      </c>
      <c r="C672" s="2" t="s">
        <v>654</v>
      </c>
      <c r="D672" s="2" t="s">
        <v>421</v>
      </c>
      <c r="E672" s="2" t="s">
        <v>466</v>
      </c>
      <c r="F672" s="2" t="s">
        <v>540</v>
      </c>
      <c r="G672" s="2" t="s">
        <v>548</v>
      </c>
      <c r="H672" s="2" t="s">
        <v>553</v>
      </c>
      <c r="I672" s="4">
        <v>2</v>
      </c>
      <c r="J672" s="5">
        <v>62000</v>
      </c>
      <c r="K672" s="5">
        <f>ROUND(IF(ISNUMBER(J672), I672*J672, I672),5)</f>
        <v>124000</v>
      </c>
    </row>
    <row r="673" spans="1:11" x14ac:dyDescent="0.3">
      <c r="A673" s="2" t="s">
        <v>11</v>
      </c>
      <c r="B673" s="3">
        <v>45992</v>
      </c>
      <c r="C673" s="2" t="s">
        <v>654</v>
      </c>
      <c r="D673" s="2" t="s">
        <v>421</v>
      </c>
      <c r="E673" s="2" t="s">
        <v>441</v>
      </c>
      <c r="F673" s="2" t="s">
        <v>547</v>
      </c>
      <c r="G673" s="2" t="s">
        <v>548</v>
      </c>
      <c r="H673" s="2" t="s">
        <v>553</v>
      </c>
      <c r="I673" s="4"/>
      <c r="J673" s="5">
        <v>-6000</v>
      </c>
      <c r="K673" s="5">
        <v>-6000</v>
      </c>
    </row>
    <row r="674" spans="1:11" x14ac:dyDescent="0.3">
      <c r="A674" s="2" t="s">
        <v>11</v>
      </c>
      <c r="B674" s="3">
        <v>45992</v>
      </c>
      <c r="C674" s="2" t="s">
        <v>655</v>
      </c>
      <c r="D674" s="2" t="s">
        <v>380</v>
      </c>
      <c r="E674" s="2" t="s">
        <v>481</v>
      </c>
      <c r="F674" s="2" t="s">
        <v>519</v>
      </c>
      <c r="G674" s="2" t="s">
        <v>548</v>
      </c>
      <c r="H674" s="2" t="s">
        <v>553</v>
      </c>
      <c r="I674" s="4">
        <v>1</v>
      </c>
      <c r="J674" s="5">
        <v>468787.5</v>
      </c>
      <c r="K674" s="5">
        <f>ROUND(IF(ISNUMBER(J674), I674*J674, I674),5)</f>
        <v>468787.5</v>
      </c>
    </row>
    <row r="675" spans="1:11" x14ac:dyDescent="0.3">
      <c r="A675" s="2" t="s">
        <v>11</v>
      </c>
      <c r="B675" s="3">
        <v>45992</v>
      </c>
      <c r="C675" s="2" t="s">
        <v>655</v>
      </c>
      <c r="D675" s="2" t="s">
        <v>380</v>
      </c>
      <c r="E675" s="2" t="s">
        <v>483</v>
      </c>
      <c r="F675" s="2" t="s">
        <v>519</v>
      </c>
      <c r="G675" s="2" t="s">
        <v>548</v>
      </c>
      <c r="H675" s="2" t="s">
        <v>553</v>
      </c>
      <c r="I675" s="4">
        <v>1</v>
      </c>
      <c r="J675" s="5"/>
      <c r="K675" s="5"/>
    </row>
    <row r="676" spans="1:11" x14ac:dyDescent="0.3">
      <c r="A676" s="2" t="s">
        <v>11</v>
      </c>
      <c r="B676" s="3">
        <v>45993</v>
      </c>
      <c r="C676" s="2" t="s">
        <v>656</v>
      </c>
      <c r="D676" s="2" t="s">
        <v>874</v>
      </c>
      <c r="E676" s="2" t="s">
        <v>512</v>
      </c>
      <c r="F676" s="2" t="s">
        <v>450</v>
      </c>
      <c r="G676" s="2" t="s">
        <v>548</v>
      </c>
      <c r="H676" s="2" t="s">
        <v>554</v>
      </c>
      <c r="I676" s="4">
        <v>1</v>
      </c>
      <c r="J676" s="5">
        <v>352230</v>
      </c>
      <c r="K676" s="5">
        <f>ROUND(IF(ISNUMBER(J676), I676*J676, I676),5)</f>
        <v>352230</v>
      </c>
    </row>
    <row r="677" spans="1:11" x14ac:dyDescent="0.3">
      <c r="A677" s="2" t="s">
        <v>11</v>
      </c>
      <c r="B677" s="3">
        <v>45994</v>
      </c>
      <c r="C677" s="2" t="s">
        <v>657</v>
      </c>
      <c r="D677" s="2" t="s">
        <v>875</v>
      </c>
      <c r="E677" s="2" t="s">
        <v>447</v>
      </c>
      <c r="F677" s="2" t="s">
        <v>540</v>
      </c>
      <c r="G677" s="2" t="s">
        <v>551</v>
      </c>
      <c r="H677" s="2" t="s">
        <v>554</v>
      </c>
      <c r="I677" s="4">
        <v>4</v>
      </c>
      <c r="J677" s="5">
        <v>42480</v>
      </c>
      <c r="K677" s="5">
        <f>ROUND(IF(ISNUMBER(J677), I677*J677, I677),5)</f>
        <v>169920</v>
      </c>
    </row>
    <row r="678" spans="1:11" x14ac:dyDescent="0.3">
      <c r="A678" s="2" t="s">
        <v>11</v>
      </c>
      <c r="B678" s="3">
        <v>45994</v>
      </c>
      <c r="C678" s="2" t="s">
        <v>658</v>
      </c>
      <c r="D678" s="2" t="s">
        <v>875</v>
      </c>
      <c r="E678" s="2" t="s">
        <v>444</v>
      </c>
      <c r="F678" s="2" t="s">
        <v>519</v>
      </c>
      <c r="G678" s="2" t="s">
        <v>551</v>
      </c>
      <c r="H678" s="2" t="s">
        <v>554</v>
      </c>
      <c r="I678" s="4">
        <v>1</v>
      </c>
      <c r="J678" s="5">
        <v>152220</v>
      </c>
      <c r="K678" s="5">
        <f>ROUND(IF(ISNUMBER(J678), I678*J678, I678),5)</f>
        <v>152220</v>
      </c>
    </row>
    <row r="679" spans="1:11" x14ac:dyDescent="0.3">
      <c r="A679" s="2" t="s">
        <v>11</v>
      </c>
      <c r="B679" s="3">
        <v>45994</v>
      </c>
      <c r="C679" s="2" t="s">
        <v>658</v>
      </c>
      <c r="D679" s="2" t="s">
        <v>875</v>
      </c>
      <c r="E679" s="2" t="s">
        <v>447</v>
      </c>
      <c r="F679" s="2" t="s">
        <v>540</v>
      </c>
      <c r="G679" s="2" t="s">
        <v>551</v>
      </c>
      <c r="H679" s="2" t="s">
        <v>554</v>
      </c>
      <c r="I679" s="4">
        <v>2</v>
      </c>
      <c r="J679" s="5">
        <v>42480</v>
      </c>
      <c r="K679" s="5">
        <f>ROUND(IF(ISNUMBER(J679), I679*J679, I679),5)</f>
        <v>84960</v>
      </c>
    </row>
    <row r="680" spans="1:11" x14ac:dyDescent="0.3">
      <c r="A680" s="2" t="s">
        <v>11</v>
      </c>
      <c r="B680" s="3">
        <v>45994</v>
      </c>
      <c r="C680" s="2" t="s">
        <v>658</v>
      </c>
      <c r="D680" s="2" t="s">
        <v>875</v>
      </c>
      <c r="E680" s="2" t="s">
        <v>441</v>
      </c>
      <c r="F680" s="2" t="s">
        <v>547</v>
      </c>
      <c r="G680" s="2" t="s">
        <v>551</v>
      </c>
      <c r="H680" s="2" t="s">
        <v>554</v>
      </c>
      <c r="I680" s="4"/>
      <c r="J680" s="5">
        <v>-5000</v>
      </c>
      <c r="K680" s="5">
        <v>-5000</v>
      </c>
    </row>
    <row r="681" spans="1:11" x14ac:dyDescent="0.3">
      <c r="A681" s="2" t="s">
        <v>11</v>
      </c>
      <c r="B681" s="3">
        <v>45994</v>
      </c>
      <c r="C681" s="2" t="s">
        <v>659</v>
      </c>
      <c r="D681" s="2" t="s">
        <v>876</v>
      </c>
      <c r="E681" s="2" t="s">
        <v>465</v>
      </c>
      <c r="F681" s="2" t="s">
        <v>544</v>
      </c>
      <c r="G681" s="2" t="s">
        <v>551</v>
      </c>
      <c r="H681" s="2" t="s">
        <v>553</v>
      </c>
      <c r="I681" s="4">
        <v>1</v>
      </c>
      <c r="J681" s="5">
        <v>191000</v>
      </c>
      <c r="K681" s="5">
        <f>ROUND(IF(ISNUMBER(J681), I681*J681, I681),5)</f>
        <v>191000</v>
      </c>
    </row>
    <row r="682" spans="1:11" x14ac:dyDescent="0.3">
      <c r="A682" s="2" t="s">
        <v>11</v>
      </c>
      <c r="B682" s="3">
        <v>45994</v>
      </c>
      <c r="C682" s="2" t="s">
        <v>660</v>
      </c>
      <c r="D682" s="2" t="s">
        <v>876</v>
      </c>
      <c r="E682" s="2" t="s">
        <v>465</v>
      </c>
      <c r="F682" s="2" t="s">
        <v>544</v>
      </c>
      <c r="G682" s="2" t="s">
        <v>551</v>
      </c>
      <c r="H682" s="2" t="s">
        <v>553</v>
      </c>
      <c r="I682" s="4">
        <v>1</v>
      </c>
      <c r="J682" s="5">
        <v>164000</v>
      </c>
      <c r="K682" s="5">
        <f>ROUND(IF(ISNUMBER(J682), I682*J682, I682),5)</f>
        <v>164000</v>
      </c>
    </row>
    <row r="683" spans="1:11" x14ac:dyDescent="0.3">
      <c r="A683" s="2" t="s">
        <v>11</v>
      </c>
      <c r="B683" s="3">
        <v>45994</v>
      </c>
      <c r="C683" s="2" t="s">
        <v>661</v>
      </c>
      <c r="D683" s="2" t="s">
        <v>877</v>
      </c>
      <c r="E683" s="2" t="s">
        <v>488</v>
      </c>
      <c r="F683" s="2" t="s">
        <v>519</v>
      </c>
      <c r="G683" s="2" t="s">
        <v>551</v>
      </c>
      <c r="H683" s="2" t="s">
        <v>554</v>
      </c>
      <c r="I683" s="4">
        <v>1</v>
      </c>
      <c r="J683" s="5">
        <v>109740</v>
      </c>
      <c r="K683" s="5">
        <f>ROUND(IF(ISNUMBER(J683), I683*J683, I683),5)</f>
        <v>109740</v>
      </c>
    </row>
    <row r="684" spans="1:11" x14ac:dyDescent="0.3">
      <c r="A684" s="2" t="s">
        <v>11</v>
      </c>
      <c r="B684" s="3">
        <v>45996</v>
      </c>
      <c r="C684" s="2" t="s">
        <v>662</v>
      </c>
      <c r="D684" s="2" t="s">
        <v>362</v>
      </c>
      <c r="E684" s="2" t="s">
        <v>465</v>
      </c>
      <c r="F684" s="2" t="s">
        <v>544</v>
      </c>
      <c r="G684" s="2" t="s">
        <v>548</v>
      </c>
      <c r="H684" s="2" t="s">
        <v>554</v>
      </c>
      <c r="I684" s="4">
        <v>1</v>
      </c>
      <c r="J684" s="5"/>
      <c r="K684" s="5"/>
    </row>
    <row r="685" spans="1:11" x14ac:dyDescent="0.3">
      <c r="A685" s="2" t="s">
        <v>11</v>
      </c>
      <c r="B685" s="3">
        <v>45996</v>
      </c>
      <c r="C685" s="2" t="s">
        <v>662</v>
      </c>
      <c r="D685" s="2" t="s">
        <v>362</v>
      </c>
      <c r="E685" s="2" t="s">
        <v>454</v>
      </c>
      <c r="F685" s="2" t="s">
        <v>543</v>
      </c>
      <c r="G685" s="2" t="s">
        <v>548</v>
      </c>
      <c r="H685" s="2" t="s">
        <v>553</v>
      </c>
      <c r="I685" s="4">
        <v>1</v>
      </c>
      <c r="J685" s="5">
        <v>563157</v>
      </c>
      <c r="K685" s="5">
        <f>ROUND(IF(ISNUMBER(J685), I685*J685, I685),5)</f>
        <v>563157</v>
      </c>
    </row>
    <row r="686" spans="1:11" x14ac:dyDescent="0.3">
      <c r="A686" s="2" t="s">
        <v>11</v>
      </c>
      <c r="B686" s="3">
        <v>45996</v>
      </c>
      <c r="C686" s="2" t="s">
        <v>662</v>
      </c>
      <c r="D686" s="2" t="s">
        <v>362</v>
      </c>
      <c r="E686" s="2" t="s">
        <v>454</v>
      </c>
      <c r="F686" s="2" t="s">
        <v>543</v>
      </c>
      <c r="G686" s="2" t="s">
        <v>548</v>
      </c>
      <c r="H686" s="2" t="s">
        <v>553</v>
      </c>
      <c r="I686" s="4">
        <v>2</v>
      </c>
      <c r="J686" s="5">
        <v>364736.5</v>
      </c>
      <c r="K686" s="5">
        <f>ROUND(IF(ISNUMBER(J686), I686*J686, I686),5)</f>
        <v>729473</v>
      </c>
    </row>
    <row r="687" spans="1:11" x14ac:dyDescent="0.3">
      <c r="A687" s="2" t="s">
        <v>11</v>
      </c>
      <c r="B687" s="3">
        <v>45996</v>
      </c>
      <c r="C687" s="2" t="s">
        <v>662</v>
      </c>
      <c r="D687" s="2" t="s">
        <v>362</v>
      </c>
      <c r="E687" s="2" t="s">
        <v>917</v>
      </c>
      <c r="F687" s="2" t="s">
        <v>519</v>
      </c>
      <c r="G687" s="2" t="s">
        <v>548</v>
      </c>
      <c r="H687" s="2" t="s">
        <v>553</v>
      </c>
      <c r="I687" s="4">
        <v>1</v>
      </c>
      <c r="J687" s="5">
        <v>1018465</v>
      </c>
      <c r="K687" s="5">
        <f>ROUND(IF(ISNUMBER(J687), I687*J687, I687),5)</f>
        <v>1018465</v>
      </c>
    </row>
    <row r="688" spans="1:11" x14ac:dyDescent="0.3">
      <c r="A688" s="2" t="s">
        <v>11</v>
      </c>
      <c r="B688" s="3">
        <v>45996</v>
      </c>
      <c r="C688" s="2" t="s">
        <v>663</v>
      </c>
      <c r="D688" s="2" t="s">
        <v>382</v>
      </c>
      <c r="E688" s="2" t="s">
        <v>487</v>
      </c>
      <c r="F688" s="2" t="s">
        <v>542</v>
      </c>
      <c r="G688" s="2" t="s">
        <v>550</v>
      </c>
      <c r="H688" s="2" t="s">
        <v>554</v>
      </c>
      <c r="I688" s="4">
        <v>1</v>
      </c>
      <c r="J688" s="5">
        <v>23600</v>
      </c>
      <c r="K688" s="5">
        <f>ROUND(IF(ISNUMBER(J688), I688*J688, I688),5)</f>
        <v>23600</v>
      </c>
    </row>
    <row r="689" spans="1:11" x14ac:dyDescent="0.3">
      <c r="A689" s="2" t="s">
        <v>11</v>
      </c>
      <c r="B689" s="3">
        <v>45997</v>
      </c>
      <c r="C689" s="2" t="s">
        <v>664</v>
      </c>
      <c r="D689" s="2" t="s">
        <v>878</v>
      </c>
      <c r="E689" s="2" t="s">
        <v>472</v>
      </c>
      <c r="F689" s="2" t="s">
        <v>544</v>
      </c>
      <c r="G689" s="2" t="s">
        <v>549</v>
      </c>
      <c r="H689" s="2" t="s">
        <v>553</v>
      </c>
      <c r="I689" s="4">
        <v>1</v>
      </c>
      <c r="J689" s="5">
        <v>15000</v>
      </c>
      <c r="K689" s="5">
        <f>ROUND(IF(ISNUMBER(J689), I689*J689, I689),5)</f>
        <v>15000</v>
      </c>
    </row>
    <row r="690" spans="1:11" x14ac:dyDescent="0.3">
      <c r="A690" s="2" t="s">
        <v>11</v>
      </c>
      <c r="B690" s="3">
        <v>45997</v>
      </c>
      <c r="C690" s="2" t="s">
        <v>664</v>
      </c>
      <c r="D690" s="2" t="s">
        <v>878</v>
      </c>
      <c r="E690" s="2" t="s">
        <v>475</v>
      </c>
      <c r="F690" s="2" t="s">
        <v>450</v>
      </c>
      <c r="G690" s="2" t="s">
        <v>549</v>
      </c>
      <c r="H690" s="2" t="s">
        <v>553</v>
      </c>
      <c r="I690" s="4">
        <v>1</v>
      </c>
      <c r="J690" s="5">
        <v>73000</v>
      </c>
      <c r="K690" s="5">
        <f>ROUND(IF(ISNUMBER(J690), I690*J690, I690),5)</f>
        <v>73000</v>
      </c>
    </row>
    <row r="691" spans="1:11" x14ac:dyDescent="0.3">
      <c r="A691" s="2" t="s">
        <v>11</v>
      </c>
      <c r="B691" s="3">
        <v>45997</v>
      </c>
      <c r="C691" s="2" t="s">
        <v>665</v>
      </c>
      <c r="D691" s="2" t="s">
        <v>416</v>
      </c>
      <c r="E691" s="2" t="s">
        <v>487</v>
      </c>
      <c r="F691" s="2" t="s">
        <v>542</v>
      </c>
      <c r="G691" s="2" t="s">
        <v>550</v>
      </c>
      <c r="H691" s="2" t="s">
        <v>554</v>
      </c>
      <c r="I691" s="4">
        <v>1</v>
      </c>
      <c r="J691" s="5">
        <v>23600</v>
      </c>
      <c r="K691" s="5">
        <f>ROUND(IF(ISNUMBER(J691), I691*J691, I691),5)</f>
        <v>23600</v>
      </c>
    </row>
    <row r="692" spans="1:11" x14ac:dyDescent="0.3">
      <c r="A692" s="2" t="s">
        <v>12</v>
      </c>
      <c r="B692" s="3">
        <v>45999</v>
      </c>
      <c r="C692" s="2" t="s">
        <v>666</v>
      </c>
      <c r="D692" s="2" t="s">
        <v>318</v>
      </c>
      <c r="E692" s="2" t="s">
        <v>457</v>
      </c>
      <c r="F692" s="2" t="s">
        <v>542</v>
      </c>
      <c r="G692" s="2"/>
      <c r="H692" s="2" t="s">
        <v>554</v>
      </c>
      <c r="I692" s="4">
        <v>-2</v>
      </c>
      <c r="J692" s="5">
        <v>23750</v>
      </c>
      <c r="K692" s="5">
        <f>ROUND(IF(ISNUMBER(J692), I692*J692, I692),5)</f>
        <v>-47500</v>
      </c>
    </row>
    <row r="693" spans="1:11" x14ac:dyDescent="0.3">
      <c r="A693" s="2" t="s">
        <v>11</v>
      </c>
      <c r="B693" s="3">
        <v>45999</v>
      </c>
      <c r="C693" s="2" t="s">
        <v>667</v>
      </c>
      <c r="D693" s="2" t="s">
        <v>318</v>
      </c>
      <c r="E693" s="2" t="s">
        <v>457</v>
      </c>
      <c r="F693" s="2" t="s">
        <v>542</v>
      </c>
      <c r="G693" s="2" t="s">
        <v>550</v>
      </c>
      <c r="H693" s="2" t="s">
        <v>554</v>
      </c>
      <c r="I693" s="4">
        <v>1</v>
      </c>
      <c r="J693" s="5">
        <v>23750</v>
      </c>
      <c r="K693" s="5">
        <f>ROUND(IF(ISNUMBER(J693), I693*J693, I693),5)</f>
        <v>23750</v>
      </c>
    </row>
    <row r="694" spans="1:11" x14ac:dyDescent="0.3">
      <c r="A694" s="2" t="s">
        <v>11</v>
      </c>
      <c r="B694" s="3">
        <v>45999</v>
      </c>
      <c r="C694" s="2" t="s">
        <v>668</v>
      </c>
      <c r="D694" s="2" t="s">
        <v>331</v>
      </c>
      <c r="E694" s="2" t="s">
        <v>444</v>
      </c>
      <c r="F694" s="2" t="s">
        <v>519</v>
      </c>
      <c r="G694" s="2" t="s">
        <v>549</v>
      </c>
      <c r="H694" s="2" t="s">
        <v>553</v>
      </c>
      <c r="I694" s="4">
        <v>1</v>
      </c>
      <c r="J694" s="5">
        <v>129000</v>
      </c>
      <c r="K694" s="5">
        <f>ROUND(IF(ISNUMBER(J694), I694*J694, I694),5)</f>
        <v>129000</v>
      </c>
    </row>
    <row r="695" spans="1:11" x14ac:dyDescent="0.3">
      <c r="A695" s="2" t="s">
        <v>11</v>
      </c>
      <c r="B695" s="3">
        <v>45999</v>
      </c>
      <c r="C695" s="2" t="s">
        <v>668</v>
      </c>
      <c r="D695" s="2" t="s">
        <v>331</v>
      </c>
      <c r="E695" s="2" t="s">
        <v>447</v>
      </c>
      <c r="F695" s="2" t="s">
        <v>540</v>
      </c>
      <c r="G695" s="2" t="s">
        <v>549</v>
      </c>
      <c r="H695" s="2" t="s">
        <v>553</v>
      </c>
      <c r="I695" s="4">
        <v>4</v>
      </c>
      <c r="J695" s="5">
        <v>36000</v>
      </c>
      <c r="K695" s="5">
        <f>ROUND(IF(ISNUMBER(J695), I695*J695, I695),5)</f>
        <v>144000</v>
      </c>
    </row>
    <row r="696" spans="1:11" x14ac:dyDescent="0.3">
      <c r="A696" s="2" t="s">
        <v>11</v>
      </c>
      <c r="B696" s="3">
        <v>45999</v>
      </c>
      <c r="C696" s="2" t="s">
        <v>669</v>
      </c>
      <c r="D696" s="2" t="s">
        <v>374</v>
      </c>
      <c r="E696" s="2" t="s">
        <v>451</v>
      </c>
      <c r="F696" s="2" t="s">
        <v>540</v>
      </c>
      <c r="G696" s="2" t="s">
        <v>551</v>
      </c>
      <c r="H696" s="2" t="s">
        <v>554</v>
      </c>
      <c r="I696" s="4">
        <v>1</v>
      </c>
      <c r="J696" s="5">
        <v>170746</v>
      </c>
      <c r="K696" s="5">
        <f>ROUND(IF(ISNUMBER(J696), I696*J696, I696),5)</f>
        <v>170746</v>
      </c>
    </row>
    <row r="697" spans="1:11" x14ac:dyDescent="0.3">
      <c r="A697" s="2" t="s">
        <v>11</v>
      </c>
      <c r="B697" s="3">
        <v>45999</v>
      </c>
      <c r="C697" s="2" t="s">
        <v>670</v>
      </c>
      <c r="D697" s="2" t="s">
        <v>316</v>
      </c>
      <c r="E697" s="2" t="s">
        <v>449</v>
      </c>
      <c r="F697" s="2" t="s">
        <v>450</v>
      </c>
      <c r="G697" s="2" t="s">
        <v>551</v>
      </c>
      <c r="H697" s="2" t="s">
        <v>553</v>
      </c>
      <c r="I697" s="4">
        <v>1</v>
      </c>
      <c r="J697" s="5">
        <v>38500</v>
      </c>
      <c r="K697" s="5">
        <f>ROUND(IF(ISNUMBER(J697), I697*J697, I697),5)</f>
        <v>38500</v>
      </c>
    </row>
    <row r="698" spans="1:11" x14ac:dyDescent="0.3">
      <c r="A698" s="2" t="s">
        <v>11</v>
      </c>
      <c r="B698" s="3">
        <v>45999</v>
      </c>
      <c r="C698" s="2" t="s">
        <v>671</v>
      </c>
      <c r="D698" s="2" t="s">
        <v>385</v>
      </c>
      <c r="E698" s="2" t="s">
        <v>449</v>
      </c>
      <c r="F698" s="2" t="s">
        <v>450</v>
      </c>
      <c r="G698" s="2" t="s">
        <v>551</v>
      </c>
      <c r="H698" s="2" t="s">
        <v>553</v>
      </c>
      <c r="I698" s="4">
        <v>2</v>
      </c>
      <c r="J698" s="5">
        <v>39000</v>
      </c>
      <c r="K698" s="5">
        <f>ROUND(IF(ISNUMBER(J698), I698*J698, I698),5)</f>
        <v>78000</v>
      </c>
    </row>
    <row r="699" spans="1:11" x14ac:dyDescent="0.3">
      <c r="A699" s="2" t="s">
        <v>11</v>
      </c>
      <c r="B699" s="3">
        <v>45999</v>
      </c>
      <c r="C699" s="2" t="s">
        <v>672</v>
      </c>
      <c r="D699" s="2" t="s">
        <v>381</v>
      </c>
      <c r="E699" s="2" t="s">
        <v>513</v>
      </c>
      <c r="F699" s="2" t="s">
        <v>546</v>
      </c>
      <c r="G699" s="2" t="s">
        <v>549</v>
      </c>
      <c r="H699" s="2" t="s">
        <v>554</v>
      </c>
      <c r="I699" s="4">
        <v>50</v>
      </c>
      <c r="J699" s="5">
        <v>2360</v>
      </c>
      <c r="K699" s="5">
        <f>ROUND(IF(ISNUMBER(J699), I699*J699, I699),5)</f>
        <v>118000</v>
      </c>
    </row>
    <row r="700" spans="1:11" x14ac:dyDescent="0.3">
      <c r="A700" s="2" t="s">
        <v>11</v>
      </c>
      <c r="B700" s="3">
        <v>46000</v>
      </c>
      <c r="C700" s="2" t="s">
        <v>673</v>
      </c>
      <c r="D700" s="2" t="s">
        <v>417</v>
      </c>
      <c r="E700" s="2" t="s">
        <v>459</v>
      </c>
      <c r="F700" s="2" t="s">
        <v>519</v>
      </c>
      <c r="G700" s="2" t="s">
        <v>551</v>
      </c>
      <c r="H700" s="2" t="s">
        <v>553</v>
      </c>
      <c r="I700" s="4">
        <v>1</v>
      </c>
      <c r="J700" s="5">
        <v>712000</v>
      </c>
      <c r="K700" s="5">
        <f>ROUND(IF(ISNUMBER(J700), I700*J700, I700),5)</f>
        <v>712000</v>
      </c>
    </row>
    <row r="701" spans="1:11" x14ac:dyDescent="0.3">
      <c r="A701" s="2" t="s">
        <v>11</v>
      </c>
      <c r="B701" s="3">
        <v>46000</v>
      </c>
      <c r="C701" s="2" t="s">
        <v>673</v>
      </c>
      <c r="D701" s="2" t="s">
        <v>417</v>
      </c>
      <c r="E701" s="2" t="s">
        <v>482</v>
      </c>
      <c r="F701" s="2" t="s">
        <v>540</v>
      </c>
      <c r="G701" s="2" t="s">
        <v>551</v>
      </c>
      <c r="H701" s="2" t="s">
        <v>553</v>
      </c>
      <c r="I701" s="4">
        <v>3</v>
      </c>
      <c r="J701" s="5">
        <v>112000</v>
      </c>
      <c r="K701" s="5">
        <f>ROUND(IF(ISNUMBER(J701), I701*J701, I701),5)</f>
        <v>336000</v>
      </c>
    </row>
    <row r="702" spans="1:11" x14ac:dyDescent="0.3">
      <c r="A702" s="2" t="s">
        <v>11</v>
      </c>
      <c r="B702" s="3">
        <v>46000</v>
      </c>
      <c r="C702" s="2" t="s">
        <v>673</v>
      </c>
      <c r="D702" s="2" t="s">
        <v>417</v>
      </c>
      <c r="E702" s="2" t="s">
        <v>460</v>
      </c>
      <c r="F702" s="2" t="s">
        <v>519</v>
      </c>
      <c r="G702" s="2" t="s">
        <v>551</v>
      </c>
      <c r="H702" s="2" t="s">
        <v>553</v>
      </c>
      <c r="I702" s="4">
        <v>1</v>
      </c>
      <c r="J702" s="5"/>
      <c r="K702" s="5"/>
    </row>
    <row r="703" spans="1:11" x14ac:dyDescent="0.3">
      <c r="A703" s="2" t="s">
        <v>11</v>
      </c>
      <c r="B703" s="3">
        <v>46000</v>
      </c>
      <c r="C703" s="2" t="s">
        <v>674</v>
      </c>
      <c r="D703" s="2" t="s">
        <v>858</v>
      </c>
      <c r="E703" s="2" t="s">
        <v>527</v>
      </c>
      <c r="F703" s="2" t="s">
        <v>542</v>
      </c>
      <c r="G703" s="2" t="s">
        <v>550</v>
      </c>
      <c r="H703" s="2" t="s">
        <v>554</v>
      </c>
      <c r="I703" s="4">
        <v>1</v>
      </c>
      <c r="J703" s="5">
        <v>6000</v>
      </c>
      <c r="K703" s="5">
        <f>ROUND(IF(ISNUMBER(J703), I703*J703, I703),5)</f>
        <v>6000</v>
      </c>
    </row>
    <row r="704" spans="1:11" x14ac:dyDescent="0.3">
      <c r="A704" s="2" t="s">
        <v>12</v>
      </c>
      <c r="B704" s="3">
        <v>46001</v>
      </c>
      <c r="C704" s="2" t="s">
        <v>675</v>
      </c>
      <c r="D704" s="2" t="s">
        <v>348</v>
      </c>
      <c r="E704" s="2" t="s">
        <v>502</v>
      </c>
      <c r="F704" s="2" t="s">
        <v>542</v>
      </c>
      <c r="G704" s="2"/>
      <c r="H704" s="2" t="s">
        <v>553</v>
      </c>
      <c r="I704" s="4">
        <v>-1</v>
      </c>
      <c r="J704" s="5">
        <v>7000</v>
      </c>
      <c r="K704" s="5">
        <f>ROUND(IF(ISNUMBER(J704), I704*J704, I704),5)</f>
        <v>-7000</v>
      </c>
    </row>
    <row r="705" spans="1:11" x14ac:dyDescent="0.3">
      <c r="A705" s="2" t="s">
        <v>11</v>
      </c>
      <c r="B705" s="3">
        <v>46001</v>
      </c>
      <c r="C705" s="2" t="s">
        <v>676</v>
      </c>
      <c r="D705" s="2" t="s">
        <v>316</v>
      </c>
      <c r="E705" s="2" t="s">
        <v>449</v>
      </c>
      <c r="F705" s="2" t="s">
        <v>450</v>
      </c>
      <c r="G705" s="2" t="s">
        <v>551</v>
      </c>
      <c r="H705" s="2" t="s">
        <v>553</v>
      </c>
      <c r="I705" s="4">
        <v>1</v>
      </c>
      <c r="J705" s="5">
        <v>38500</v>
      </c>
      <c r="K705" s="5">
        <f>ROUND(IF(ISNUMBER(J705), I705*J705, I705),5)</f>
        <v>38500</v>
      </c>
    </row>
    <row r="706" spans="1:11" x14ac:dyDescent="0.3">
      <c r="A706" s="2" t="s">
        <v>11</v>
      </c>
      <c r="B706" s="3">
        <v>46001</v>
      </c>
      <c r="C706" s="2" t="s">
        <v>677</v>
      </c>
      <c r="D706" s="2" t="s">
        <v>403</v>
      </c>
      <c r="E706" s="2" t="s">
        <v>506</v>
      </c>
      <c r="F706" s="2" t="s">
        <v>519</v>
      </c>
      <c r="G706" s="2" t="s">
        <v>549</v>
      </c>
      <c r="H706" s="2" t="s">
        <v>553</v>
      </c>
      <c r="I706" s="4">
        <v>1</v>
      </c>
      <c r="J706" s="5">
        <v>413505</v>
      </c>
      <c r="K706" s="5">
        <f>ROUND(IF(ISNUMBER(J706), I706*J706, I706),5)</f>
        <v>413505</v>
      </c>
    </row>
    <row r="707" spans="1:11" x14ac:dyDescent="0.3">
      <c r="A707" s="2" t="s">
        <v>11</v>
      </c>
      <c r="B707" s="3">
        <v>46001</v>
      </c>
      <c r="C707" s="2" t="s">
        <v>677</v>
      </c>
      <c r="D707" s="2" t="s">
        <v>403</v>
      </c>
      <c r="E707" s="2" t="s">
        <v>466</v>
      </c>
      <c r="F707" s="2" t="s">
        <v>540</v>
      </c>
      <c r="G707" s="2" t="s">
        <v>549</v>
      </c>
      <c r="H707" s="2" t="s">
        <v>553</v>
      </c>
      <c r="I707" s="4">
        <v>2</v>
      </c>
      <c r="J707" s="5"/>
      <c r="K707" s="5"/>
    </row>
    <row r="708" spans="1:11" x14ac:dyDescent="0.3">
      <c r="A708" s="2" t="s">
        <v>11</v>
      </c>
      <c r="B708" s="3">
        <v>46001</v>
      </c>
      <c r="C708" s="2" t="s">
        <v>677</v>
      </c>
      <c r="D708" s="2" t="s">
        <v>403</v>
      </c>
      <c r="E708" s="2" t="s">
        <v>483</v>
      </c>
      <c r="F708" s="2" t="s">
        <v>519</v>
      </c>
      <c r="G708" s="2" t="s">
        <v>549</v>
      </c>
      <c r="H708" s="2" t="s">
        <v>553</v>
      </c>
      <c r="I708" s="4">
        <v>1</v>
      </c>
      <c r="J708" s="5"/>
      <c r="K708" s="5"/>
    </row>
    <row r="709" spans="1:11" x14ac:dyDescent="0.3">
      <c r="A709" s="2" t="s">
        <v>11</v>
      </c>
      <c r="B709" s="3">
        <v>46003</v>
      </c>
      <c r="C709" s="2" t="s">
        <v>678</v>
      </c>
      <c r="D709" s="2" t="s">
        <v>879</v>
      </c>
      <c r="E709" s="2" t="s">
        <v>442</v>
      </c>
      <c r="F709" s="2" t="s">
        <v>540</v>
      </c>
      <c r="G709" s="2" t="s">
        <v>548</v>
      </c>
      <c r="H709" s="2" t="s">
        <v>554</v>
      </c>
      <c r="I709" s="4">
        <v>1</v>
      </c>
      <c r="J709" s="5">
        <v>64900</v>
      </c>
      <c r="K709" s="5">
        <f>ROUND(IF(ISNUMBER(J709), I709*J709, I709),5)</f>
        <v>64900</v>
      </c>
    </row>
    <row r="710" spans="1:11" x14ac:dyDescent="0.3">
      <c r="A710" s="2" t="s">
        <v>11</v>
      </c>
      <c r="B710" s="3">
        <v>46006</v>
      </c>
      <c r="C710" s="2" t="s">
        <v>679</v>
      </c>
      <c r="D710" s="2" t="s">
        <v>880</v>
      </c>
      <c r="E710" s="2" t="s">
        <v>518</v>
      </c>
      <c r="F710" s="2" t="s">
        <v>545</v>
      </c>
      <c r="G710" s="2" t="s">
        <v>551</v>
      </c>
      <c r="H710" s="2" t="s">
        <v>553</v>
      </c>
      <c r="I710" s="4">
        <v>1</v>
      </c>
      <c r="J710" s="5">
        <v>35000</v>
      </c>
      <c r="K710" s="5">
        <f>ROUND(IF(ISNUMBER(J710), I710*J710, I710),5)</f>
        <v>35000</v>
      </c>
    </row>
    <row r="711" spans="1:11" x14ac:dyDescent="0.3">
      <c r="A711" s="2" t="s">
        <v>11</v>
      </c>
      <c r="B711" s="3">
        <v>46007</v>
      </c>
      <c r="C711" s="2" t="s">
        <v>680</v>
      </c>
      <c r="D711" s="2" t="s">
        <v>881</v>
      </c>
      <c r="E711" s="2" t="s">
        <v>510</v>
      </c>
      <c r="F711" s="2" t="s">
        <v>542</v>
      </c>
      <c r="G711" s="2" t="s">
        <v>551</v>
      </c>
      <c r="H711" s="2" t="s">
        <v>554</v>
      </c>
      <c r="I711" s="4">
        <v>1</v>
      </c>
      <c r="J711" s="5">
        <v>26550</v>
      </c>
      <c r="K711" s="5">
        <f>ROUND(IF(ISNUMBER(J711), I711*J711, I711),5)</f>
        <v>26550</v>
      </c>
    </row>
    <row r="712" spans="1:11" x14ac:dyDescent="0.3">
      <c r="A712" s="2" t="s">
        <v>11</v>
      </c>
      <c r="B712" s="3">
        <v>46007</v>
      </c>
      <c r="C712" s="2" t="s">
        <v>680</v>
      </c>
      <c r="D712" s="2" t="s">
        <v>881</v>
      </c>
      <c r="E712" s="2" t="s">
        <v>916</v>
      </c>
      <c r="F712" s="2" t="s">
        <v>544</v>
      </c>
      <c r="G712" s="2" t="s">
        <v>551</v>
      </c>
      <c r="H712" s="2" t="s">
        <v>554</v>
      </c>
      <c r="I712" s="4">
        <v>1</v>
      </c>
      <c r="J712" s="5">
        <v>10000</v>
      </c>
      <c r="K712" s="5">
        <f>ROUND(IF(ISNUMBER(J712), I712*J712, I712),5)</f>
        <v>10000</v>
      </c>
    </row>
    <row r="713" spans="1:11" x14ac:dyDescent="0.3">
      <c r="A713" s="2" t="s">
        <v>12</v>
      </c>
      <c r="B713" s="3">
        <v>46008</v>
      </c>
      <c r="C713" s="2" t="s">
        <v>681</v>
      </c>
      <c r="D713" s="2" t="s">
        <v>881</v>
      </c>
      <c r="E713" s="2" t="s">
        <v>510</v>
      </c>
      <c r="F713" s="2" t="s">
        <v>542</v>
      </c>
      <c r="G713" s="2"/>
      <c r="H713" s="2" t="s">
        <v>554</v>
      </c>
      <c r="I713" s="4">
        <v>-1</v>
      </c>
      <c r="J713" s="5">
        <v>26550</v>
      </c>
      <c r="K713" s="5">
        <f>ROUND(IF(ISNUMBER(J713), I713*J713, I713),5)</f>
        <v>-26550</v>
      </c>
    </row>
    <row r="714" spans="1:11" x14ac:dyDescent="0.3">
      <c r="A714" s="2" t="s">
        <v>12</v>
      </c>
      <c r="B714" s="3">
        <v>46008</v>
      </c>
      <c r="C714" s="2" t="s">
        <v>681</v>
      </c>
      <c r="D714" s="2" t="s">
        <v>881</v>
      </c>
      <c r="E714" s="2" t="s">
        <v>916</v>
      </c>
      <c r="F714" s="2" t="s">
        <v>544</v>
      </c>
      <c r="G714" s="2"/>
      <c r="H714" s="2" t="s">
        <v>554</v>
      </c>
      <c r="I714" s="4">
        <v>-1</v>
      </c>
      <c r="J714" s="5">
        <v>10000</v>
      </c>
      <c r="K714" s="5">
        <f>ROUND(IF(ISNUMBER(J714), I714*J714, I714),5)</f>
        <v>-10000</v>
      </c>
    </row>
    <row r="715" spans="1:11" x14ac:dyDescent="0.3">
      <c r="A715" s="2" t="s">
        <v>11</v>
      </c>
      <c r="B715" s="3">
        <v>46008</v>
      </c>
      <c r="C715" s="2" t="s">
        <v>682</v>
      </c>
      <c r="D715" s="2" t="s">
        <v>335</v>
      </c>
      <c r="E715" s="2" t="s">
        <v>473</v>
      </c>
      <c r="F715" s="2" t="s">
        <v>544</v>
      </c>
      <c r="G715" s="2" t="s">
        <v>549</v>
      </c>
      <c r="H715" s="2" t="s">
        <v>553</v>
      </c>
      <c r="I715" s="4">
        <v>1</v>
      </c>
      <c r="J715" s="5">
        <v>19068.37</v>
      </c>
      <c r="K715" s="5">
        <f>ROUND(IF(ISNUMBER(J715), I715*J715, I715),5)</f>
        <v>19068.37</v>
      </c>
    </row>
    <row r="716" spans="1:11" x14ac:dyDescent="0.3">
      <c r="A716" s="2" t="s">
        <v>11</v>
      </c>
      <c r="B716" s="3">
        <v>46008</v>
      </c>
      <c r="C716" s="2" t="s">
        <v>683</v>
      </c>
      <c r="D716" s="2" t="s">
        <v>335</v>
      </c>
      <c r="E716" s="2" t="s">
        <v>472</v>
      </c>
      <c r="F716" s="2" t="s">
        <v>544</v>
      </c>
      <c r="G716" s="2" t="s">
        <v>549</v>
      </c>
      <c r="H716" s="2" t="s">
        <v>553</v>
      </c>
      <c r="I716" s="4">
        <v>1</v>
      </c>
      <c r="J716" s="5">
        <v>6949.31</v>
      </c>
      <c r="K716" s="5">
        <f>ROUND(IF(ISNUMBER(J716), I716*J716, I716),5)</f>
        <v>6949.31</v>
      </c>
    </row>
    <row r="717" spans="1:11" x14ac:dyDescent="0.3">
      <c r="A717" s="2" t="s">
        <v>11</v>
      </c>
      <c r="B717" s="3">
        <v>46008</v>
      </c>
      <c r="C717" s="2" t="s">
        <v>684</v>
      </c>
      <c r="D717" s="2" t="s">
        <v>882</v>
      </c>
      <c r="E717" s="2" t="s">
        <v>522</v>
      </c>
      <c r="F717" s="2" t="s">
        <v>519</v>
      </c>
      <c r="G717" s="2" t="s">
        <v>551</v>
      </c>
      <c r="H717" s="2" t="s">
        <v>554</v>
      </c>
      <c r="I717" s="4">
        <v>1</v>
      </c>
      <c r="J717" s="5">
        <v>454300</v>
      </c>
      <c r="K717" s="5">
        <f>ROUND(IF(ISNUMBER(J717), I717*J717, I717),5)</f>
        <v>454300</v>
      </c>
    </row>
    <row r="718" spans="1:11" x14ac:dyDescent="0.3">
      <c r="A718" s="2" t="s">
        <v>11</v>
      </c>
      <c r="B718" s="3">
        <v>46008</v>
      </c>
      <c r="C718" s="2" t="s">
        <v>684</v>
      </c>
      <c r="D718" s="2" t="s">
        <v>882</v>
      </c>
      <c r="E718" s="2" t="s">
        <v>482</v>
      </c>
      <c r="F718" s="2" t="s">
        <v>540</v>
      </c>
      <c r="G718" s="2" t="s">
        <v>551</v>
      </c>
      <c r="H718" s="2" t="s">
        <v>554</v>
      </c>
      <c r="I718" s="4">
        <v>4</v>
      </c>
      <c r="J718" s="5">
        <v>151040</v>
      </c>
      <c r="K718" s="5">
        <f>ROUND(IF(ISNUMBER(J718), I718*J718, I718),5)</f>
        <v>604160</v>
      </c>
    </row>
    <row r="719" spans="1:11" x14ac:dyDescent="0.3">
      <c r="A719" s="2" t="s">
        <v>11</v>
      </c>
      <c r="B719" s="3">
        <v>46008</v>
      </c>
      <c r="C719" s="2" t="s">
        <v>685</v>
      </c>
      <c r="D719" s="2" t="s">
        <v>336</v>
      </c>
      <c r="E719" s="2" t="s">
        <v>473</v>
      </c>
      <c r="F719" s="2" t="s">
        <v>544</v>
      </c>
      <c r="G719" s="2" t="s">
        <v>549</v>
      </c>
      <c r="H719" s="2" t="s">
        <v>553</v>
      </c>
      <c r="I719" s="4">
        <v>1</v>
      </c>
      <c r="J719" s="5">
        <v>15637.5</v>
      </c>
      <c r="K719" s="5">
        <f>ROUND(IF(ISNUMBER(J719), I719*J719, I719),5)</f>
        <v>15637.5</v>
      </c>
    </row>
    <row r="720" spans="1:11" x14ac:dyDescent="0.3">
      <c r="A720" s="2" t="s">
        <v>11</v>
      </c>
      <c r="B720" s="3">
        <v>46008</v>
      </c>
      <c r="C720" s="2" t="s">
        <v>686</v>
      </c>
      <c r="D720" s="2" t="s">
        <v>334</v>
      </c>
      <c r="E720" s="2" t="s">
        <v>471</v>
      </c>
      <c r="F720" s="2" t="s">
        <v>544</v>
      </c>
      <c r="G720" s="2" t="s">
        <v>549</v>
      </c>
      <c r="H720" s="2" t="s">
        <v>553</v>
      </c>
      <c r="I720" s="4">
        <v>1</v>
      </c>
      <c r="J720" s="5">
        <v>3127.5</v>
      </c>
      <c r="K720" s="5">
        <f>ROUND(IF(ISNUMBER(J720), I720*J720, I720),5)</f>
        <v>3127.5</v>
      </c>
    </row>
    <row r="721" spans="1:11" x14ac:dyDescent="0.3">
      <c r="A721" s="2" t="s">
        <v>11</v>
      </c>
      <c r="B721" s="3">
        <v>46008</v>
      </c>
      <c r="C721" s="2" t="s">
        <v>687</v>
      </c>
      <c r="D721" s="2" t="s">
        <v>881</v>
      </c>
      <c r="E721" s="2" t="s">
        <v>918</v>
      </c>
      <c r="F721" s="2" t="s">
        <v>450</v>
      </c>
      <c r="G721" s="2" t="s">
        <v>551</v>
      </c>
      <c r="H721" s="2" t="s">
        <v>554</v>
      </c>
      <c r="I721" s="4">
        <v>1</v>
      </c>
      <c r="J721" s="5">
        <v>30000</v>
      </c>
      <c r="K721" s="5">
        <f>ROUND(IF(ISNUMBER(J721), I721*J721, I721),5)</f>
        <v>30000</v>
      </c>
    </row>
    <row r="722" spans="1:11" x14ac:dyDescent="0.3">
      <c r="A722" s="2" t="s">
        <v>11</v>
      </c>
      <c r="B722" s="3">
        <v>46008</v>
      </c>
      <c r="C722" s="2" t="s">
        <v>687</v>
      </c>
      <c r="D722" s="2" t="s">
        <v>881</v>
      </c>
      <c r="E722" s="2" t="s">
        <v>916</v>
      </c>
      <c r="F722" s="2" t="s">
        <v>544</v>
      </c>
      <c r="G722" s="2" t="s">
        <v>551</v>
      </c>
      <c r="H722" s="2" t="s">
        <v>554</v>
      </c>
      <c r="I722" s="4">
        <v>1</v>
      </c>
      <c r="J722" s="5">
        <v>10000</v>
      </c>
      <c r="K722" s="5">
        <f>ROUND(IF(ISNUMBER(J722), I722*J722, I722),5)</f>
        <v>10000</v>
      </c>
    </row>
    <row r="723" spans="1:11" x14ac:dyDescent="0.3">
      <c r="A723" s="2" t="s">
        <v>11</v>
      </c>
      <c r="B723" s="3">
        <v>46009</v>
      </c>
      <c r="C723" s="2" t="s">
        <v>688</v>
      </c>
      <c r="D723" s="2" t="s">
        <v>346</v>
      </c>
      <c r="E723" s="2" t="s">
        <v>919</v>
      </c>
      <c r="F723" s="2" t="s">
        <v>540</v>
      </c>
      <c r="G723" s="2" t="s">
        <v>551</v>
      </c>
      <c r="H723" s="2" t="s">
        <v>554</v>
      </c>
      <c r="I723" s="4">
        <v>1</v>
      </c>
      <c r="J723" s="5">
        <v>161660</v>
      </c>
      <c r="K723" s="5">
        <f>ROUND(IF(ISNUMBER(J723), I723*J723, I723),5)</f>
        <v>161660</v>
      </c>
    </row>
    <row r="724" spans="1:11" x14ac:dyDescent="0.3">
      <c r="A724" s="2" t="s">
        <v>11</v>
      </c>
      <c r="B724" s="3">
        <v>46009</v>
      </c>
      <c r="C724" s="2" t="s">
        <v>689</v>
      </c>
      <c r="D724" s="2" t="s">
        <v>417</v>
      </c>
      <c r="E724" s="2" t="s">
        <v>457</v>
      </c>
      <c r="F724" s="2" t="s">
        <v>542</v>
      </c>
      <c r="G724" s="2" t="s">
        <v>551</v>
      </c>
      <c r="H724" s="2" t="s">
        <v>553</v>
      </c>
      <c r="I724" s="4">
        <v>2</v>
      </c>
      <c r="J724" s="5">
        <v>20500</v>
      </c>
      <c r="K724" s="5">
        <f>ROUND(IF(ISNUMBER(J724), I724*J724, I724),5)</f>
        <v>41000</v>
      </c>
    </row>
    <row r="725" spans="1:11" x14ac:dyDescent="0.3">
      <c r="A725" s="2" t="s">
        <v>11</v>
      </c>
      <c r="B725" s="3">
        <v>46009</v>
      </c>
      <c r="C725" s="2" t="s">
        <v>690</v>
      </c>
      <c r="D725" s="2" t="s">
        <v>425</v>
      </c>
      <c r="E725" s="2" t="s">
        <v>509</v>
      </c>
      <c r="F725" s="2" t="s">
        <v>519</v>
      </c>
      <c r="G725" s="2" t="s">
        <v>550</v>
      </c>
      <c r="H725" s="2" t="s">
        <v>554</v>
      </c>
      <c r="I725" s="4">
        <v>1</v>
      </c>
      <c r="J725" s="5">
        <v>167560</v>
      </c>
      <c r="K725" s="5">
        <f>ROUND(IF(ISNUMBER(J725), I725*J725, I725),5)</f>
        <v>167560</v>
      </c>
    </row>
    <row r="726" spans="1:11" x14ac:dyDescent="0.3">
      <c r="A726" s="2" t="s">
        <v>11</v>
      </c>
      <c r="B726" s="3">
        <v>46009</v>
      </c>
      <c r="C726" s="2" t="s">
        <v>691</v>
      </c>
      <c r="D726" s="2" t="s">
        <v>322</v>
      </c>
      <c r="E726" s="2" t="s">
        <v>465</v>
      </c>
      <c r="F726" s="2" t="s">
        <v>544</v>
      </c>
      <c r="G726" s="2" t="s">
        <v>548</v>
      </c>
      <c r="H726" s="2" t="s">
        <v>553</v>
      </c>
      <c r="I726" s="4">
        <v>1</v>
      </c>
      <c r="J726" s="5">
        <v>452000</v>
      </c>
      <c r="K726" s="5">
        <f>ROUND(IF(ISNUMBER(J726), I726*J726, I726),5)</f>
        <v>452000</v>
      </c>
    </row>
    <row r="727" spans="1:11" x14ac:dyDescent="0.3">
      <c r="A727" s="2" t="s">
        <v>11</v>
      </c>
      <c r="B727" s="3">
        <v>46009</v>
      </c>
      <c r="C727" s="2" t="s">
        <v>692</v>
      </c>
      <c r="D727" s="2" t="s">
        <v>862</v>
      </c>
      <c r="E727" s="2" t="s">
        <v>465</v>
      </c>
      <c r="F727" s="2" t="s">
        <v>544</v>
      </c>
      <c r="G727" s="2" t="s">
        <v>549</v>
      </c>
      <c r="H727" s="2" t="s">
        <v>553</v>
      </c>
      <c r="I727" s="4">
        <v>1</v>
      </c>
      <c r="J727" s="5">
        <v>336000</v>
      </c>
      <c r="K727" s="5">
        <f>ROUND(IF(ISNUMBER(J727), I727*J727, I727),5)</f>
        <v>336000</v>
      </c>
    </row>
    <row r="728" spans="1:11" x14ac:dyDescent="0.3">
      <c r="A728" s="2" t="s">
        <v>11</v>
      </c>
      <c r="B728" s="3">
        <v>46010</v>
      </c>
      <c r="C728" s="2" t="s">
        <v>693</v>
      </c>
      <c r="D728" s="2" t="s">
        <v>340</v>
      </c>
      <c r="E728" s="2" t="s">
        <v>481</v>
      </c>
      <c r="F728" s="2" t="s">
        <v>519</v>
      </c>
      <c r="G728" s="2" t="s">
        <v>548</v>
      </c>
      <c r="H728" s="2" t="s">
        <v>553</v>
      </c>
      <c r="I728" s="4">
        <v>1</v>
      </c>
      <c r="J728" s="5">
        <v>439000</v>
      </c>
      <c r="K728" s="5">
        <f>ROUND(IF(ISNUMBER(J728), I728*J728, I728),5)</f>
        <v>439000</v>
      </c>
    </row>
    <row r="729" spans="1:11" x14ac:dyDescent="0.3">
      <c r="A729" s="2" t="s">
        <v>11</v>
      </c>
      <c r="B729" s="3">
        <v>46010</v>
      </c>
      <c r="C729" s="2" t="s">
        <v>693</v>
      </c>
      <c r="D729" s="2" t="s">
        <v>340</v>
      </c>
      <c r="E729" s="2" t="s">
        <v>912</v>
      </c>
      <c r="F729" s="2" t="s">
        <v>540</v>
      </c>
      <c r="G729" s="2" t="s">
        <v>548</v>
      </c>
      <c r="H729" s="2" t="s">
        <v>553</v>
      </c>
      <c r="I729" s="4">
        <v>4</v>
      </c>
      <c r="J729" s="5">
        <v>90000</v>
      </c>
      <c r="K729" s="5">
        <f>ROUND(IF(ISNUMBER(J729), I729*J729, I729),5)</f>
        <v>360000</v>
      </c>
    </row>
    <row r="730" spans="1:11" x14ac:dyDescent="0.3">
      <c r="A730" s="2" t="s">
        <v>11</v>
      </c>
      <c r="B730" s="3">
        <v>46010</v>
      </c>
      <c r="C730" s="2" t="s">
        <v>693</v>
      </c>
      <c r="D730" s="2" t="s">
        <v>340</v>
      </c>
      <c r="E730" s="2" t="s">
        <v>483</v>
      </c>
      <c r="F730" s="2" t="s">
        <v>519</v>
      </c>
      <c r="G730" s="2" t="s">
        <v>548</v>
      </c>
      <c r="H730" s="2" t="s">
        <v>553</v>
      </c>
      <c r="I730" s="4">
        <v>1</v>
      </c>
      <c r="J730" s="5"/>
      <c r="K730" s="5"/>
    </row>
    <row r="731" spans="1:11" x14ac:dyDescent="0.3">
      <c r="A731" s="2" t="s">
        <v>11</v>
      </c>
      <c r="B731" s="3">
        <v>46010</v>
      </c>
      <c r="C731" s="2" t="s">
        <v>694</v>
      </c>
      <c r="D731" s="2" t="s">
        <v>862</v>
      </c>
      <c r="E731" s="2" t="s">
        <v>465</v>
      </c>
      <c r="F731" s="2" t="s">
        <v>544</v>
      </c>
      <c r="G731" s="2" t="s">
        <v>549</v>
      </c>
      <c r="H731" s="2" t="s">
        <v>553</v>
      </c>
      <c r="I731" s="4">
        <v>1</v>
      </c>
      <c r="J731" s="5">
        <v>214000</v>
      </c>
      <c r="K731" s="5">
        <f>ROUND(IF(ISNUMBER(J731), I731*J731, I731),5)</f>
        <v>214000</v>
      </c>
    </row>
    <row r="732" spans="1:11" x14ac:dyDescent="0.3">
      <c r="A732" s="2" t="s">
        <v>11</v>
      </c>
      <c r="B732" s="3">
        <v>46010</v>
      </c>
      <c r="C732" s="2" t="s">
        <v>695</v>
      </c>
      <c r="D732" s="2" t="s">
        <v>348</v>
      </c>
      <c r="E732" s="2" t="s">
        <v>465</v>
      </c>
      <c r="F732" s="2" t="s">
        <v>544</v>
      </c>
      <c r="G732" s="2" t="s">
        <v>551</v>
      </c>
      <c r="H732" s="2" t="s">
        <v>553</v>
      </c>
      <c r="I732" s="4">
        <v>1</v>
      </c>
      <c r="J732" s="5">
        <v>544000</v>
      </c>
      <c r="K732" s="5">
        <f>ROUND(IF(ISNUMBER(J732), I732*J732, I732),5)</f>
        <v>544000</v>
      </c>
    </row>
    <row r="733" spans="1:11" x14ac:dyDescent="0.3">
      <c r="A733" s="2" t="s">
        <v>11</v>
      </c>
      <c r="B733" s="3">
        <v>46010</v>
      </c>
      <c r="C733" s="2" t="s">
        <v>695</v>
      </c>
      <c r="D733" s="2" t="s">
        <v>348</v>
      </c>
      <c r="E733" s="2" t="s">
        <v>465</v>
      </c>
      <c r="F733" s="2" t="s">
        <v>544</v>
      </c>
      <c r="G733" s="2" t="s">
        <v>551</v>
      </c>
      <c r="H733" s="2" t="s">
        <v>553</v>
      </c>
      <c r="I733" s="4">
        <v>1</v>
      </c>
      <c r="J733" s="5">
        <v>333000</v>
      </c>
      <c r="K733" s="5">
        <f>ROUND(IF(ISNUMBER(J733), I733*J733, I733),5)</f>
        <v>333000</v>
      </c>
    </row>
    <row r="734" spans="1:11" x14ac:dyDescent="0.3">
      <c r="A734" s="2" t="s">
        <v>11</v>
      </c>
      <c r="B734" s="3">
        <v>46011</v>
      </c>
      <c r="C734" s="2" t="s">
        <v>696</v>
      </c>
      <c r="D734" s="2" t="s">
        <v>431</v>
      </c>
      <c r="E734" s="2" t="s">
        <v>493</v>
      </c>
      <c r="F734" s="2" t="s">
        <v>542</v>
      </c>
      <c r="G734" s="2" t="s">
        <v>551</v>
      </c>
      <c r="H734" s="2" t="s">
        <v>554</v>
      </c>
      <c r="I734" s="4">
        <v>1</v>
      </c>
      <c r="J734" s="5">
        <v>19000</v>
      </c>
      <c r="K734" s="5">
        <f>ROUND(IF(ISNUMBER(J734), I734*J734, I734),5)</f>
        <v>19000</v>
      </c>
    </row>
    <row r="735" spans="1:11" x14ac:dyDescent="0.3">
      <c r="A735" s="2" t="s">
        <v>11</v>
      </c>
      <c r="B735" s="3">
        <v>46011</v>
      </c>
      <c r="C735" s="2" t="s">
        <v>697</v>
      </c>
      <c r="D735" s="2" t="s">
        <v>402</v>
      </c>
      <c r="E735" s="2" t="s">
        <v>454</v>
      </c>
      <c r="F735" s="2" t="s">
        <v>543</v>
      </c>
      <c r="G735" s="2" t="s">
        <v>552</v>
      </c>
      <c r="H735" s="2" t="s">
        <v>554</v>
      </c>
      <c r="I735" s="4">
        <v>1</v>
      </c>
      <c r="J735" s="5">
        <v>12500</v>
      </c>
      <c r="K735" s="5">
        <f>ROUND(IF(ISNUMBER(J735), I735*J735, I735),5)</f>
        <v>12500</v>
      </c>
    </row>
    <row r="736" spans="1:11" x14ac:dyDescent="0.3">
      <c r="A736" s="2" t="s">
        <v>11</v>
      </c>
      <c r="B736" s="3">
        <v>46011</v>
      </c>
      <c r="C736" s="2" t="s">
        <v>698</v>
      </c>
      <c r="D736" s="2" t="s">
        <v>328</v>
      </c>
      <c r="E736" s="2" t="s">
        <v>454</v>
      </c>
      <c r="F736" s="2" t="s">
        <v>543</v>
      </c>
      <c r="G736" s="2" t="s">
        <v>552</v>
      </c>
      <c r="H736" s="2" t="s">
        <v>554</v>
      </c>
      <c r="I736" s="4">
        <v>1</v>
      </c>
      <c r="J736" s="5">
        <v>2000</v>
      </c>
      <c r="K736" s="5">
        <f>ROUND(IF(ISNUMBER(J736), I736*J736, I736),5)</f>
        <v>2000</v>
      </c>
    </row>
    <row r="737" spans="1:11" x14ac:dyDescent="0.3">
      <c r="A737" s="2" t="s">
        <v>11</v>
      </c>
      <c r="B737" s="3">
        <v>46011</v>
      </c>
      <c r="C737" s="2" t="s">
        <v>699</v>
      </c>
      <c r="D737" s="2" t="s">
        <v>328</v>
      </c>
      <c r="E737" s="2" t="s">
        <v>454</v>
      </c>
      <c r="F737" s="2" t="s">
        <v>543</v>
      </c>
      <c r="G737" s="2" t="s">
        <v>552</v>
      </c>
      <c r="H737" s="2" t="s">
        <v>554</v>
      </c>
      <c r="I737" s="4">
        <v>1</v>
      </c>
      <c r="J737" s="5">
        <v>2000</v>
      </c>
      <c r="K737" s="5">
        <f>ROUND(IF(ISNUMBER(J737), I737*J737, I737),5)</f>
        <v>2000</v>
      </c>
    </row>
    <row r="738" spans="1:11" x14ac:dyDescent="0.3">
      <c r="A738" s="2" t="s">
        <v>11</v>
      </c>
      <c r="B738" s="3">
        <v>46013</v>
      </c>
      <c r="C738" s="2" t="s">
        <v>700</v>
      </c>
      <c r="D738" s="2" t="s">
        <v>382</v>
      </c>
      <c r="E738" s="2" t="s">
        <v>480</v>
      </c>
      <c r="F738" s="2" t="s">
        <v>542</v>
      </c>
      <c r="G738" s="2" t="s">
        <v>550</v>
      </c>
      <c r="H738" s="2" t="s">
        <v>554</v>
      </c>
      <c r="I738" s="4">
        <v>2</v>
      </c>
      <c r="J738" s="5">
        <v>8200</v>
      </c>
      <c r="K738" s="5">
        <f>ROUND(IF(ISNUMBER(J738), I738*J738, I738),5)</f>
        <v>16400</v>
      </c>
    </row>
    <row r="739" spans="1:11" x14ac:dyDescent="0.3">
      <c r="A739" s="2" t="s">
        <v>11</v>
      </c>
      <c r="B739" s="3">
        <v>46013</v>
      </c>
      <c r="C739" s="2" t="s">
        <v>700</v>
      </c>
      <c r="D739" s="2" t="s">
        <v>382</v>
      </c>
      <c r="E739" s="2" t="s">
        <v>527</v>
      </c>
      <c r="F739" s="2" t="s">
        <v>542</v>
      </c>
      <c r="G739" s="2" t="s">
        <v>550</v>
      </c>
      <c r="H739" s="2" t="s">
        <v>554</v>
      </c>
      <c r="I739" s="4">
        <v>3</v>
      </c>
      <c r="J739" s="5">
        <v>6000</v>
      </c>
      <c r="K739" s="5">
        <f>ROUND(IF(ISNUMBER(J739), I739*J739, I739),5)</f>
        <v>18000</v>
      </c>
    </row>
    <row r="740" spans="1:11" x14ac:dyDescent="0.3">
      <c r="A740" s="2" t="s">
        <v>11</v>
      </c>
      <c r="B740" s="3">
        <v>46013</v>
      </c>
      <c r="C740" s="2" t="s">
        <v>700</v>
      </c>
      <c r="D740" s="2" t="s">
        <v>382</v>
      </c>
      <c r="E740" s="2" t="s">
        <v>510</v>
      </c>
      <c r="F740" s="2" t="s">
        <v>542</v>
      </c>
      <c r="G740" s="2" t="s">
        <v>550</v>
      </c>
      <c r="H740" s="2" t="s">
        <v>554</v>
      </c>
      <c r="I740" s="4">
        <v>1</v>
      </c>
      <c r="J740" s="5">
        <v>26750</v>
      </c>
      <c r="K740" s="5">
        <f>ROUND(IF(ISNUMBER(J740), I740*J740, I740),5)</f>
        <v>26750</v>
      </c>
    </row>
    <row r="741" spans="1:11" x14ac:dyDescent="0.3">
      <c r="A741" s="2" t="s">
        <v>11</v>
      </c>
      <c r="B741" s="3">
        <v>46013</v>
      </c>
      <c r="C741" s="2" t="s">
        <v>700</v>
      </c>
      <c r="D741" s="2" t="s">
        <v>382</v>
      </c>
      <c r="E741" s="2" t="s">
        <v>496</v>
      </c>
      <c r="F741" s="2" t="s">
        <v>545</v>
      </c>
      <c r="G741" s="2" t="s">
        <v>550</v>
      </c>
      <c r="H741" s="2" t="s">
        <v>554</v>
      </c>
      <c r="I741" s="4">
        <v>15</v>
      </c>
      <c r="J741" s="5">
        <v>300</v>
      </c>
      <c r="K741" s="5">
        <f>ROUND(IF(ISNUMBER(J741), I741*J741, I741),5)</f>
        <v>4500</v>
      </c>
    </row>
    <row r="742" spans="1:11" x14ac:dyDescent="0.3">
      <c r="A742" s="2" t="s">
        <v>11</v>
      </c>
      <c r="B742" s="3">
        <v>46014</v>
      </c>
      <c r="C742" s="2" t="s">
        <v>701</v>
      </c>
      <c r="D742" s="2" t="s">
        <v>313</v>
      </c>
      <c r="E742" s="2" t="s">
        <v>480</v>
      </c>
      <c r="F742" s="2" t="s">
        <v>542</v>
      </c>
      <c r="G742" s="2" t="s">
        <v>550</v>
      </c>
      <c r="H742" s="2" t="s">
        <v>553</v>
      </c>
      <c r="I742" s="4">
        <v>3</v>
      </c>
      <c r="J742" s="5">
        <v>7000</v>
      </c>
      <c r="K742" s="5">
        <f>ROUND(IF(ISNUMBER(J742), I742*J742, I742),5)</f>
        <v>21000</v>
      </c>
    </row>
    <row r="743" spans="1:11" x14ac:dyDescent="0.3">
      <c r="A743" s="2" t="s">
        <v>11</v>
      </c>
      <c r="B743" s="3">
        <v>46015</v>
      </c>
      <c r="C743" s="2" t="s">
        <v>702</v>
      </c>
      <c r="D743" s="2" t="s">
        <v>417</v>
      </c>
      <c r="E743" s="2" t="s">
        <v>920</v>
      </c>
      <c r="F743" s="2" t="s">
        <v>450</v>
      </c>
      <c r="G743" s="2" t="s">
        <v>551</v>
      </c>
      <c r="H743" s="2" t="s">
        <v>553</v>
      </c>
      <c r="I743" s="4">
        <v>1</v>
      </c>
      <c r="J743" s="5">
        <v>139000</v>
      </c>
      <c r="K743" s="5">
        <f>ROUND(IF(ISNUMBER(J743), I743*J743, I743),5)</f>
        <v>139000</v>
      </c>
    </row>
    <row r="744" spans="1:11" x14ac:dyDescent="0.3">
      <c r="A744" s="2" t="s">
        <v>11</v>
      </c>
      <c r="B744" s="3">
        <v>46015</v>
      </c>
      <c r="C744" s="2" t="s">
        <v>703</v>
      </c>
      <c r="D744" s="2" t="s">
        <v>325</v>
      </c>
      <c r="E744" s="2" t="s">
        <v>481</v>
      </c>
      <c r="F744" s="2" t="s">
        <v>519</v>
      </c>
      <c r="G744" s="2" t="s">
        <v>548</v>
      </c>
      <c r="H744" s="2" t="s">
        <v>553</v>
      </c>
      <c r="I744" s="4">
        <v>1</v>
      </c>
      <c r="J744" s="5">
        <v>503000</v>
      </c>
      <c r="K744" s="5">
        <f>ROUND(IF(ISNUMBER(J744), I744*J744, I744),5)</f>
        <v>503000</v>
      </c>
    </row>
    <row r="745" spans="1:11" x14ac:dyDescent="0.3">
      <c r="A745" s="2" t="s">
        <v>11</v>
      </c>
      <c r="B745" s="3">
        <v>46015</v>
      </c>
      <c r="C745" s="2" t="s">
        <v>703</v>
      </c>
      <c r="D745" s="2" t="s">
        <v>325</v>
      </c>
      <c r="E745" s="2" t="s">
        <v>466</v>
      </c>
      <c r="F745" s="2" t="s">
        <v>540</v>
      </c>
      <c r="G745" s="2" t="s">
        <v>548</v>
      </c>
      <c r="H745" s="2" t="s">
        <v>553</v>
      </c>
      <c r="I745" s="4">
        <v>4</v>
      </c>
      <c r="J745" s="5">
        <v>75000</v>
      </c>
      <c r="K745" s="5">
        <f>ROUND(IF(ISNUMBER(J745), I745*J745, I745),5)</f>
        <v>300000</v>
      </c>
    </row>
    <row r="746" spans="1:11" x14ac:dyDescent="0.3">
      <c r="A746" s="2" t="s">
        <v>11</v>
      </c>
      <c r="B746" s="3">
        <v>46015</v>
      </c>
      <c r="C746" s="2" t="s">
        <v>703</v>
      </c>
      <c r="D746" s="2" t="s">
        <v>325</v>
      </c>
      <c r="E746" s="2" t="s">
        <v>483</v>
      </c>
      <c r="F746" s="2" t="s">
        <v>519</v>
      </c>
      <c r="G746" s="2" t="s">
        <v>548</v>
      </c>
      <c r="H746" s="2" t="s">
        <v>553</v>
      </c>
      <c r="I746" s="4">
        <v>1</v>
      </c>
      <c r="J746" s="5"/>
      <c r="K746" s="5"/>
    </row>
    <row r="747" spans="1:11" x14ac:dyDescent="0.3">
      <c r="A747" s="2" t="s">
        <v>11</v>
      </c>
      <c r="B747" s="3">
        <v>46015</v>
      </c>
      <c r="C747" s="2" t="s">
        <v>703</v>
      </c>
      <c r="D747" s="2" t="s">
        <v>325</v>
      </c>
      <c r="E747" s="2" t="s">
        <v>441</v>
      </c>
      <c r="F747" s="2" t="s">
        <v>547</v>
      </c>
      <c r="G747" s="2" t="s">
        <v>548</v>
      </c>
      <c r="H747" s="2" t="s">
        <v>553</v>
      </c>
      <c r="I747" s="4"/>
      <c r="J747" s="5">
        <v>-30000</v>
      </c>
      <c r="K747" s="5">
        <v>-30000</v>
      </c>
    </row>
    <row r="748" spans="1:11" x14ac:dyDescent="0.3">
      <c r="A748" s="2" t="s">
        <v>11</v>
      </c>
      <c r="B748" s="3">
        <v>46015</v>
      </c>
      <c r="C748" s="2" t="s">
        <v>704</v>
      </c>
      <c r="D748" s="2" t="s">
        <v>403</v>
      </c>
      <c r="E748" s="2" t="s">
        <v>509</v>
      </c>
      <c r="F748" s="2" t="s">
        <v>519</v>
      </c>
      <c r="G748" s="2" t="s">
        <v>549</v>
      </c>
      <c r="H748" s="2" t="s">
        <v>553</v>
      </c>
      <c r="I748" s="4">
        <v>1</v>
      </c>
      <c r="J748" s="5">
        <v>188628.75</v>
      </c>
      <c r="K748" s="5">
        <f>ROUND(IF(ISNUMBER(J748), I748*J748, I748),5)</f>
        <v>188628.75</v>
      </c>
    </row>
    <row r="749" spans="1:11" x14ac:dyDescent="0.3">
      <c r="A749" s="2" t="s">
        <v>11</v>
      </c>
      <c r="B749" s="3">
        <v>46015</v>
      </c>
      <c r="C749" s="2" t="s">
        <v>704</v>
      </c>
      <c r="D749" s="2" t="s">
        <v>403</v>
      </c>
      <c r="E749" s="2" t="s">
        <v>447</v>
      </c>
      <c r="F749" s="2" t="s">
        <v>540</v>
      </c>
      <c r="G749" s="2" t="s">
        <v>549</v>
      </c>
      <c r="H749" s="2" t="s">
        <v>553</v>
      </c>
      <c r="I749" s="4">
        <v>2</v>
      </c>
      <c r="J749" s="5"/>
      <c r="K749" s="5"/>
    </row>
    <row r="750" spans="1:11" x14ac:dyDescent="0.3">
      <c r="A750" s="2" t="s">
        <v>11</v>
      </c>
      <c r="B750" s="3">
        <v>46015</v>
      </c>
      <c r="C750" s="2" t="s">
        <v>705</v>
      </c>
      <c r="D750" s="2" t="s">
        <v>313</v>
      </c>
      <c r="E750" s="2" t="s">
        <v>510</v>
      </c>
      <c r="F750" s="2" t="s">
        <v>542</v>
      </c>
      <c r="G750" s="2" t="s">
        <v>550</v>
      </c>
      <c r="H750" s="2" t="s">
        <v>553</v>
      </c>
      <c r="I750" s="4">
        <v>5</v>
      </c>
      <c r="J750" s="5">
        <v>22000</v>
      </c>
      <c r="K750" s="5">
        <f>ROUND(IF(ISNUMBER(J750), I750*J750, I750),5)</f>
        <v>110000</v>
      </c>
    </row>
    <row r="751" spans="1:11" x14ac:dyDescent="0.3">
      <c r="A751" s="2" t="s">
        <v>11</v>
      </c>
      <c r="B751" s="3">
        <v>46017</v>
      </c>
      <c r="C751" s="2" t="s">
        <v>706</v>
      </c>
      <c r="D751" s="2" t="s">
        <v>408</v>
      </c>
      <c r="E751" s="2" t="s">
        <v>454</v>
      </c>
      <c r="F751" s="2" t="s">
        <v>543</v>
      </c>
      <c r="G751" s="2" t="s">
        <v>548</v>
      </c>
      <c r="H751" s="2" t="s">
        <v>553</v>
      </c>
      <c r="I751" s="4">
        <v>1</v>
      </c>
      <c r="J751" s="5">
        <v>198000</v>
      </c>
      <c r="K751" s="5">
        <f>ROUND(IF(ISNUMBER(J751), I751*J751, I751),5)</f>
        <v>198000</v>
      </c>
    </row>
    <row r="752" spans="1:11" x14ac:dyDescent="0.3">
      <c r="A752" s="2" t="s">
        <v>11</v>
      </c>
      <c r="B752" s="3">
        <v>46020</v>
      </c>
      <c r="C752" s="2" t="s">
        <v>707</v>
      </c>
      <c r="D752" s="2" t="s">
        <v>883</v>
      </c>
      <c r="E752" s="2" t="s">
        <v>528</v>
      </c>
      <c r="F752" s="2" t="s">
        <v>540</v>
      </c>
      <c r="G752" s="2" t="s">
        <v>549</v>
      </c>
      <c r="H752" s="2" t="s">
        <v>553</v>
      </c>
      <c r="I752" s="4">
        <v>3</v>
      </c>
      <c r="J752" s="5">
        <v>67000</v>
      </c>
      <c r="K752" s="5">
        <f>ROUND(IF(ISNUMBER(J752), I752*J752, I752),5)</f>
        <v>201000</v>
      </c>
    </row>
    <row r="753" spans="1:11" x14ac:dyDescent="0.3">
      <c r="A753" s="2" t="s">
        <v>11</v>
      </c>
      <c r="B753" s="3">
        <v>46020</v>
      </c>
      <c r="C753" s="2" t="s">
        <v>708</v>
      </c>
      <c r="D753" s="2" t="s">
        <v>884</v>
      </c>
      <c r="E753" s="2" t="s">
        <v>517</v>
      </c>
      <c r="F753" s="2" t="s">
        <v>519</v>
      </c>
      <c r="G753" s="2" t="s">
        <v>551</v>
      </c>
      <c r="H753" s="2" t="s">
        <v>553</v>
      </c>
      <c r="I753" s="4">
        <v>1</v>
      </c>
      <c r="J753" s="5">
        <v>167000</v>
      </c>
      <c r="K753" s="5">
        <f>ROUND(IF(ISNUMBER(J753), I753*J753, I753),5)</f>
        <v>167000</v>
      </c>
    </row>
    <row r="754" spans="1:11" x14ac:dyDescent="0.3">
      <c r="A754" s="2" t="s">
        <v>11</v>
      </c>
      <c r="B754" s="3">
        <v>46020</v>
      </c>
      <c r="C754" s="2" t="s">
        <v>708</v>
      </c>
      <c r="D754" s="2" t="s">
        <v>884</v>
      </c>
      <c r="E754" s="2" t="s">
        <v>442</v>
      </c>
      <c r="F754" s="2" t="s">
        <v>540</v>
      </c>
      <c r="G754" s="2" t="s">
        <v>551</v>
      </c>
      <c r="H754" s="2" t="s">
        <v>553</v>
      </c>
      <c r="I754" s="4">
        <v>2</v>
      </c>
      <c r="J754" s="5">
        <v>55000</v>
      </c>
      <c r="K754" s="5">
        <f>ROUND(IF(ISNUMBER(J754), I754*J754, I754),5)</f>
        <v>110000</v>
      </c>
    </row>
    <row r="755" spans="1:11" x14ac:dyDescent="0.3">
      <c r="A755" s="2" t="s">
        <v>11</v>
      </c>
      <c r="B755" s="3">
        <v>46020</v>
      </c>
      <c r="C755" s="2" t="s">
        <v>709</v>
      </c>
      <c r="D755" s="2" t="s">
        <v>885</v>
      </c>
      <c r="E755" s="2" t="s">
        <v>449</v>
      </c>
      <c r="F755" s="2" t="s">
        <v>450</v>
      </c>
      <c r="G755" s="2" t="s">
        <v>551</v>
      </c>
      <c r="H755" s="2" t="s">
        <v>554</v>
      </c>
      <c r="I755" s="4">
        <v>2</v>
      </c>
      <c r="J755" s="5">
        <v>45430</v>
      </c>
      <c r="K755" s="5">
        <f>ROUND(IF(ISNUMBER(J755), I755*J755, I755),5)</f>
        <v>90860</v>
      </c>
    </row>
    <row r="756" spans="1:11" x14ac:dyDescent="0.3">
      <c r="A756" s="2" t="s">
        <v>11</v>
      </c>
      <c r="B756" s="3">
        <v>46020</v>
      </c>
      <c r="C756" s="2" t="s">
        <v>710</v>
      </c>
      <c r="D756" s="2" t="s">
        <v>312</v>
      </c>
      <c r="E756" s="2" t="s">
        <v>488</v>
      </c>
      <c r="F756" s="2" t="s">
        <v>519</v>
      </c>
      <c r="G756" s="2" t="s">
        <v>548</v>
      </c>
      <c r="H756" s="2" t="s">
        <v>553</v>
      </c>
      <c r="I756" s="4">
        <v>1</v>
      </c>
      <c r="J756" s="5">
        <v>98000</v>
      </c>
      <c r="K756" s="5">
        <f>ROUND(IF(ISNUMBER(J756), I756*J756, I756),5)</f>
        <v>98000</v>
      </c>
    </row>
    <row r="757" spans="1:11" x14ac:dyDescent="0.3">
      <c r="A757" s="2" t="s">
        <v>11</v>
      </c>
      <c r="B757" s="3">
        <v>46020</v>
      </c>
      <c r="C757" s="2" t="s">
        <v>710</v>
      </c>
      <c r="D757" s="2" t="s">
        <v>312</v>
      </c>
      <c r="E757" s="2" t="s">
        <v>447</v>
      </c>
      <c r="F757" s="2" t="s">
        <v>540</v>
      </c>
      <c r="G757" s="2" t="s">
        <v>548</v>
      </c>
      <c r="H757" s="2" t="s">
        <v>553</v>
      </c>
      <c r="I757" s="4">
        <v>2</v>
      </c>
      <c r="J757" s="5">
        <v>37000</v>
      </c>
      <c r="K757" s="5">
        <f>ROUND(IF(ISNUMBER(J757), I757*J757, I757),5)</f>
        <v>74000</v>
      </c>
    </row>
    <row r="758" spans="1:11" x14ac:dyDescent="0.3">
      <c r="A758" s="2" t="s">
        <v>11</v>
      </c>
      <c r="B758" s="3">
        <v>46020</v>
      </c>
      <c r="C758" s="2" t="s">
        <v>711</v>
      </c>
      <c r="D758" s="2" t="s">
        <v>885</v>
      </c>
      <c r="E758" s="2" t="s">
        <v>449</v>
      </c>
      <c r="F758" s="2" t="s">
        <v>450</v>
      </c>
      <c r="G758" s="2" t="s">
        <v>551</v>
      </c>
      <c r="H758" s="2" t="s">
        <v>554</v>
      </c>
      <c r="I758" s="4">
        <v>3</v>
      </c>
      <c r="J758" s="5">
        <v>45430</v>
      </c>
      <c r="K758" s="5">
        <f>ROUND(IF(ISNUMBER(J758), I758*J758, I758),5)</f>
        <v>136290</v>
      </c>
    </row>
    <row r="759" spans="1:11" x14ac:dyDescent="0.3">
      <c r="A759" s="2" t="s">
        <v>12</v>
      </c>
      <c r="B759" s="3">
        <v>46021</v>
      </c>
      <c r="C759" s="2" t="s">
        <v>712</v>
      </c>
      <c r="D759" s="2" t="s">
        <v>396</v>
      </c>
      <c r="E759" s="2" t="s">
        <v>511</v>
      </c>
      <c r="F759" s="2" t="s">
        <v>542</v>
      </c>
      <c r="G759" s="2"/>
      <c r="H759" s="2" t="s">
        <v>554</v>
      </c>
      <c r="I759" s="4">
        <v>-2</v>
      </c>
      <c r="J759" s="5">
        <v>20000</v>
      </c>
      <c r="K759" s="5">
        <f>ROUND(IF(ISNUMBER(J759), I759*J759, I759),5)</f>
        <v>-40000</v>
      </c>
    </row>
    <row r="760" spans="1:11" x14ac:dyDescent="0.3">
      <c r="A760" s="2" t="s">
        <v>11</v>
      </c>
      <c r="B760" s="3">
        <v>46022</v>
      </c>
      <c r="C760" s="2" t="s">
        <v>713</v>
      </c>
      <c r="D760" s="2" t="s">
        <v>313</v>
      </c>
      <c r="E760" s="2" t="s">
        <v>446</v>
      </c>
      <c r="F760" s="2" t="s">
        <v>519</v>
      </c>
      <c r="G760" s="2" t="s">
        <v>549</v>
      </c>
      <c r="H760" s="2" t="s">
        <v>553</v>
      </c>
      <c r="I760" s="4">
        <v>3</v>
      </c>
      <c r="J760" s="5">
        <v>65400</v>
      </c>
      <c r="K760" s="5">
        <f>ROUND(IF(ISNUMBER(J760), I760*J760, I760),5)</f>
        <v>196200</v>
      </c>
    </row>
    <row r="761" spans="1:11" x14ac:dyDescent="0.3">
      <c r="A761" s="2" t="s">
        <v>11</v>
      </c>
      <c r="B761" s="3">
        <v>46022</v>
      </c>
      <c r="C761" s="2" t="s">
        <v>713</v>
      </c>
      <c r="D761" s="2" t="s">
        <v>313</v>
      </c>
      <c r="E761" s="2" t="s">
        <v>488</v>
      </c>
      <c r="F761" s="2" t="s">
        <v>519</v>
      </c>
      <c r="G761" s="2" t="s">
        <v>549</v>
      </c>
      <c r="H761" s="2" t="s">
        <v>553</v>
      </c>
      <c r="I761" s="4">
        <v>3</v>
      </c>
      <c r="J761" s="5">
        <v>95400</v>
      </c>
      <c r="K761" s="5">
        <f>ROUND(IF(ISNUMBER(J761), I761*J761, I761),5)</f>
        <v>286200</v>
      </c>
    </row>
    <row r="762" spans="1:11" x14ac:dyDescent="0.3">
      <c r="A762" s="2" t="s">
        <v>11</v>
      </c>
      <c r="B762" s="3">
        <v>46022</v>
      </c>
      <c r="C762" s="2" t="s">
        <v>713</v>
      </c>
      <c r="D762" s="2" t="s">
        <v>313</v>
      </c>
      <c r="E762" s="2" t="s">
        <v>444</v>
      </c>
      <c r="F762" s="2" t="s">
        <v>519</v>
      </c>
      <c r="G762" s="2" t="s">
        <v>549</v>
      </c>
      <c r="H762" s="2" t="s">
        <v>553</v>
      </c>
      <c r="I762" s="4">
        <v>1</v>
      </c>
      <c r="J762" s="5">
        <v>133347.46</v>
      </c>
      <c r="K762" s="5">
        <f>ROUND(IF(ISNUMBER(J762), I762*J762, I762),5)</f>
        <v>133347.46</v>
      </c>
    </row>
    <row r="763" spans="1:11" x14ac:dyDescent="0.3">
      <c r="A763" s="2" t="s">
        <v>11</v>
      </c>
      <c r="B763" s="3">
        <v>46024</v>
      </c>
      <c r="C763" s="2" t="s">
        <v>714</v>
      </c>
      <c r="D763" s="2" t="s">
        <v>886</v>
      </c>
      <c r="E763" s="2" t="s">
        <v>442</v>
      </c>
      <c r="F763" s="2" t="s">
        <v>540</v>
      </c>
      <c r="G763" s="2" t="s">
        <v>551</v>
      </c>
      <c r="H763" s="2" t="s">
        <v>553</v>
      </c>
      <c r="I763" s="4">
        <v>1</v>
      </c>
      <c r="J763" s="5">
        <v>48000</v>
      </c>
      <c r="K763" s="5">
        <f>ROUND(IF(ISNUMBER(J763), I763*J763, I763),5)</f>
        <v>48000</v>
      </c>
    </row>
    <row r="764" spans="1:11" x14ac:dyDescent="0.3">
      <c r="A764" s="2" t="s">
        <v>11</v>
      </c>
      <c r="B764" s="3">
        <v>46027</v>
      </c>
      <c r="C764" s="2" t="s">
        <v>715</v>
      </c>
      <c r="D764" s="2" t="s">
        <v>340</v>
      </c>
      <c r="E764" s="2" t="s">
        <v>506</v>
      </c>
      <c r="F764" s="2" t="s">
        <v>519</v>
      </c>
      <c r="G764" s="2" t="s">
        <v>548</v>
      </c>
      <c r="H764" s="2" t="s">
        <v>553</v>
      </c>
      <c r="I764" s="4">
        <v>1</v>
      </c>
      <c r="J764" s="5">
        <v>292000</v>
      </c>
      <c r="K764" s="5">
        <f>ROUND(IF(ISNUMBER(J764), I764*J764, I764),5)</f>
        <v>292000</v>
      </c>
    </row>
    <row r="765" spans="1:11" x14ac:dyDescent="0.3">
      <c r="A765" s="2" t="s">
        <v>11</v>
      </c>
      <c r="B765" s="3">
        <v>46027</v>
      </c>
      <c r="C765" s="2" t="s">
        <v>715</v>
      </c>
      <c r="D765" s="2" t="s">
        <v>340</v>
      </c>
      <c r="E765" s="2" t="s">
        <v>912</v>
      </c>
      <c r="F765" s="2" t="s">
        <v>540</v>
      </c>
      <c r="G765" s="2" t="s">
        <v>548</v>
      </c>
      <c r="H765" s="2" t="s">
        <v>553</v>
      </c>
      <c r="I765" s="4">
        <v>4</v>
      </c>
      <c r="J765" s="5">
        <v>82000</v>
      </c>
      <c r="K765" s="5">
        <f>ROUND(IF(ISNUMBER(J765), I765*J765, I765),5)</f>
        <v>328000</v>
      </c>
    </row>
    <row r="766" spans="1:11" x14ac:dyDescent="0.3">
      <c r="A766" s="2" t="s">
        <v>11</v>
      </c>
      <c r="B766" s="3">
        <v>46027</v>
      </c>
      <c r="C766" s="2" t="s">
        <v>715</v>
      </c>
      <c r="D766" s="2" t="s">
        <v>340</v>
      </c>
      <c r="E766" s="2" t="s">
        <v>483</v>
      </c>
      <c r="F766" s="2" t="s">
        <v>519</v>
      </c>
      <c r="G766" s="2" t="s">
        <v>548</v>
      </c>
      <c r="H766" s="2" t="s">
        <v>553</v>
      </c>
      <c r="I766" s="4">
        <v>1</v>
      </c>
      <c r="J766" s="5"/>
      <c r="K766" s="5"/>
    </row>
    <row r="767" spans="1:11" x14ac:dyDescent="0.3">
      <c r="A767" s="2" t="s">
        <v>11</v>
      </c>
      <c r="B767" s="3">
        <v>46027</v>
      </c>
      <c r="C767" s="2" t="s">
        <v>716</v>
      </c>
      <c r="D767" s="2" t="s">
        <v>887</v>
      </c>
      <c r="E767" s="2" t="s">
        <v>472</v>
      </c>
      <c r="F767" s="2" t="s">
        <v>544</v>
      </c>
      <c r="G767" s="2" t="s">
        <v>549</v>
      </c>
      <c r="H767" s="2" t="s">
        <v>554</v>
      </c>
      <c r="I767" s="4">
        <v>1</v>
      </c>
      <c r="J767" s="5">
        <v>8850</v>
      </c>
      <c r="K767" s="5">
        <f>ROUND(IF(ISNUMBER(J767), I767*J767, I767),5)</f>
        <v>8850</v>
      </c>
    </row>
    <row r="768" spans="1:11" x14ac:dyDescent="0.3">
      <c r="A768" s="2" t="s">
        <v>11</v>
      </c>
      <c r="B768" s="3">
        <v>46028</v>
      </c>
      <c r="C768" s="2" t="s">
        <v>717</v>
      </c>
      <c r="D768" s="2" t="s">
        <v>410</v>
      </c>
      <c r="E768" s="2" t="s">
        <v>488</v>
      </c>
      <c r="F768" s="2" t="s">
        <v>519</v>
      </c>
      <c r="G768" s="2" t="s">
        <v>551</v>
      </c>
      <c r="H768" s="2" t="s">
        <v>553</v>
      </c>
      <c r="I768" s="4">
        <v>1</v>
      </c>
      <c r="J768" s="5">
        <v>95000</v>
      </c>
      <c r="K768" s="5">
        <f>ROUND(IF(ISNUMBER(J768), I768*J768, I768),5)</f>
        <v>95000</v>
      </c>
    </row>
    <row r="769" spans="1:11" x14ac:dyDescent="0.3">
      <c r="A769" s="2" t="s">
        <v>11</v>
      </c>
      <c r="B769" s="3">
        <v>46028</v>
      </c>
      <c r="C769" s="2" t="s">
        <v>718</v>
      </c>
      <c r="D769" s="2" t="s">
        <v>317</v>
      </c>
      <c r="E769" s="2" t="s">
        <v>523</v>
      </c>
      <c r="F769" s="2" t="s">
        <v>540</v>
      </c>
      <c r="G769" s="2" t="s">
        <v>548</v>
      </c>
      <c r="H769" s="2" t="s">
        <v>553</v>
      </c>
      <c r="I769" s="4">
        <v>1</v>
      </c>
      <c r="J769" s="5">
        <v>131000</v>
      </c>
      <c r="K769" s="5">
        <f>ROUND(IF(ISNUMBER(J769), I769*J769, I769),5)</f>
        <v>131000</v>
      </c>
    </row>
    <row r="770" spans="1:11" x14ac:dyDescent="0.3">
      <c r="A770" s="2" t="s">
        <v>11</v>
      </c>
      <c r="B770" s="3">
        <v>46029</v>
      </c>
      <c r="C770" s="2" t="s">
        <v>719</v>
      </c>
      <c r="D770" s="2" t="s">
        <v>313</v>
      </c>
      <c r="E770" s="2" t="s">
        <v>527</v>
      </c>
      <c r="F770" s="2" t="s">
        <v>542</v>
      </c>
      <c r="G770" s="2" t="s">
        <v>550</v>
      </c>
      <c r="H770" s="2" t="s">
        <v>553</v>
      </c>
      <c r="I770" s="4">
        <v>10</v>
      </c>
      <c r="J770" s="5">
        <v>5000</v>
      </c>
      <c r="K770" s="5">
        <f>ROUND(IF(ISNUMBER(J770), I770*J770, I770),5)</f>
        <v>50000</v>
      </c>
    </row>
    <row r="771" spans="1:11" x14ac:dyDescent="0.3">
      <c r="A771" s="2" t="s">
        <v>11</v>
      </c>
      <c r="B771" s="3">
        <v>46029</v>
      </c>
      <c r="C771" s="2" t="s">
        <v>720</v>
      </c>
      <c r="D771" s="2" t="s">
        <v>888</v>
      </c>
      <c r="E771" s="2" t="s">
        <v>444</v>
      </c>
      <c r="F771" s="2" t="s">
        <v>519</v>
      </c>
      <c r="G771" s="2" t="s">
        <v>551</v>
      </c>
      <c r="H771" s="2" t="s">
        <v>553</v>
      </c>
      <c r="I771" s="4">
        <v>1</v>
      </c>
      <c r="J771" s="5">
        <v>129000</v>
      </c>
      <c r="K771" s="5">
        <f>ROUND(IF(ISNUMBER(J771), I771*J771, I771),5)</f>
        <v>129000</v>
      </c>
    </row>
    <row r="772" spans="1:11" x14ac:dyDescent="0.3">
      <c r="A772" s="2" t="s">
        <v>11</v>
      </c>
      <c r="B772" s="3">
        <v>46029</v>
      </c>
      <c r="C772" s="2" t="s">
        <v>720</v>
      </c>
      <c r="D772" s="2" t="s">
        <v>888</v>
      </c>
      <c r="E772" s="2" t="s">
        <v>912</v>
      </c>
      <c r="F772" s="2" t="s">
        <v>540</v>
      </c>
      <c r="G772" s="2" t="s">
        <v>551</v>
      </c>
      <c r="H772" s="2" t="s">
        <v>553</v>
      </c>
      <c r="I772" s="4">
        <v>2</v>
      </c>
      <c r="J772" s="5">
        <v>98000</v>
      </c>
      <c r="K772" s="5">
        <f>ROUND(IF(ISNUMBER(J772), I772*J772, I772),5)</f>
        <v>196000</v>
      </c>
    </row>
    <row r="773" spans="1:11" x14ac:dyDescent="0.3">
      <c r="A773" s="2" t="s">
        <v>11</v>
      </c>
      <c r="B773" s="3">
        <v>46031</v>
      </c>
      <c r="C773" s="2" t="s">
        <v>721</v>
      </c>
      <c r="D773" s="2" t="s">
        <v>880</v>
      </c>
      <c r="E773" s="2" t="s">
        <v>481</v>
      </c>
      <c r="F773" s="2" t="s">
        <v>519</v>
      </c>
      <c r="G773" s="2" t="s">
        <v>551</v>
      </c>
      <c r="H773" s="2" t="s">
        <v>553</v>
      </c>
      <c r="I773" s="4">
        <v>1</v>
      </c>
      <c r="J773" s="5">
        <v>553000</v>
      </c>
      <c r="K773" s="5">
        <f>ROUND(IF(ISNUMBER(J773), I773*J773, I773),5)</f>
        <v>553000</v>
      </c>
    </row>
    <row r="774" spans="1:11" x14ac:dyDescent="0.3">
      <c r="A774" s="2" t="s">
        <v>11</v>
      </c>
      <c r="B774" s="3">
        <v>46031</v>
      </c>
      <c r="C774" s="2" t="s">
        <v>721</v>
      </c>
      <c r="D774" s="2" t="s">
        <v>880</v>
      </c>
      <c r="E774" s="2" t="s">
        <v>442</v>
      </c>
      <c r="F774" s="2" t="s">
        <v>540</v>
      </c>
      <c r="G774" s="2" t="s">
        <v>551</v>
      </c>
      <c r="H774" s="2" t="s">
        <v>553</v>
      </c>
      <c r="I774" s="4">
        <v>4</v>
      </c>
      <c r="J774" s="5">
        <v>57000</v>
      </c>
      <c r="K774" s="5">
        <f>ROUND(IF(ISNUMBER(J774), I774*J774, I774),5)</f>
        <v>228000</v>
      </c>
    </row>
    <row r="775" spans="1:11" x14ac:dyDescent="0.3">
      <c r="A775" s="2" t="s">
        <v>11</v>
      </c>
      <c r="B775" s="3">
        <v>46031</v>
      </c>
      <c r="C775" s="2" t="s">
        <v>721</v>
      </c>
      <c r="D775" s="2" t="s">
        <v>880</v>
      </c>
      <c r="E775" s="2" t="s">
        <v>483</v>
      </c>
      <c r="F775" s="2" t="s">
        <v>519</v>
      </c>
      <c r="G775" s="2" t="s">
        <v>551</v>
      </c>
      <c r="H775" s="2" t="s">
        <v>553</v>
      </c>
      <c r="I775" s="4">
        <v>1</v>
      </c>
      <c r="J775" s="5"/>
      <c r="K775" s="5"/>
    </row>
    <row r="776" spans="1:11" x14ac:dyDescent="0.3">
      <c r="A776" s="2" t="s">
        <v>11</v>
      </c>
      <c r="B776" s="3">
        <v>46031</v>
      </c>
      <c r="C776" s="2" t="s">
        <v>722</v>
      </c>
      <c r="D776" s="2" t="s">
        <v>417</v>
      </c>
      <c r="E776" s="2" t="s">
        <v>500</v>
      </c>
      <c r="F776" s="2" t="s">
        <v>519</v>
      </c>
      <c r="G776" s="2" t="s">
        <v>551</v>
      </c>
      <c r="H776" s="2" t="s">
        <v>553</v>
      </c>
      <c r="I776" s="4">
        <v>1</v>
      </c>
      <c r="J776" s="5">
        <v>268000</v>
      </c>
      <c r="K776" s="5">
        <f>ROUND(IF(ISNUMBER(J776), I776*J776, I776),5)</f>
        <v>268000</v>
      </c>
    </row>
    <row r="777" spans="1:11" x14ac:dyDescent="0.3">
      <c r="A777" s="2" t="s">
        <v>11</v>
      </c>
      <c r="B777" s="3">
        <v>46031</v>
      </c>
      <c r="C777" s="2" t="s">
        <v>722</v>
      </c>
      <c r="D777" s="2" t="s">
        <v>417</v>
      </c>
      <c r="E777" s="2" t="s">
        <v>482</v>
      </c>
      <c r="F777" s="2" t="s">
        <v>540</v>
      </c>
      <c r="G777" s="2" t="s">
        <v>551</v>
      </c>
      <c r="H777" s="2" t="s">
        <v>553</v>
      </c>
      <c r="I777" s="4">
        <v>4</v>
      </c>
      <c r="J777" s="5">
        <v>127000</v>
      </c>
      <c r="K777" s="5">
        <f>ROUND(IF(ISNUMBER(J777), I777*J777, I777),5)</f>
        <v>508000</v>
      </c>
    </row>
    <row r="778" spans="1:11" x14ac:dyDescent="0.3">
      <c r="A778" s="2" t="s">
        <v>11</v>
      </c>
      <c r="B778" s="3">
        <v>46031</v>
      </c>
      <c r="C778" s="2" t="s">
        <v>723</v>
      </c>
      <c r="D778" s="2" t="s">
        <v>313</v>
      </c>
      <c r="E778" s="2" t="s">
        <v>480</v>
      </c>
      <c r="F778" s="2" t="s">
        <v>542</v>
      </c>
      <c r="G778" s="2" t="s">
        <v>550</v>
      </c>
      <c r="H778" s="2" t="s">
        <v>553</v>
      </c>
      <c r="I778" s="4">
        <v>2</v>
      </c>
      <c r="J778" s="5">
        <v>7000</v>
      </c>
      <c r="K778" s="5">
        <f>ROUND(IF(ISNUMBER(J778), I778*J778, I778),5)</f>
        <v>14000</v>
      </c>
    </row>
    <row r="779" spans="1:11" x14ac:dyDescent="0.3">
      <c r="A779" s="2" t="s">
        <v>11</v>
      </c>
      <c r="B779" s="3">
        <v>46031</v>
      </c>
      <c r="C779" s="2" t="s">
        <v>724</v>
      </c>
      <c r="D779" s="2" t="s">
        <v>889</v>
      </c>
      <c r="E779" s="2" t="s">
        <v>510</v>
      </c>
      <c r="F779" s="2" t="s">
        <v>542</v>
      </c>
      <c r="G779" s="2" t="s">
        <v>550</v>
      </c>
      <c r="H779" s="2" t="s">
        <v>554</v>
      </c>
      <c r="I779" s="4">
        <v>2</v>
      </c>
      <c r="J779" s="5">
        <v>26500</v>
      </c>
      <c r="K779" s="5">
        <f>ROUND(IF(ISNUMBER(J779), I779*J779, I779),5)</f>
        <v>53000</v>
      </c>
    </row>
    <row r="780" spans="1:11" x14ac:dyDescent="0.3">
      <c r="A780" s="2" t="s">
        <v>11</v>
      </c>
      <c r="B780" s="3">
        <v>46031</v>
      </c>
      <c r="C780" s="2" t="s">
        <v>725</v>
      </c>
      <c r="D780" s="2" t="s">
        <v>890</v>
      </c>
      <c r="E780" s="2" t="s">
        <v>511</v>
      </c>
      <c r="F780" s="2" t="s">
        <v>542</v>
      </c>
      <c r="G780" s="2" t="s">
        <v>550</v>
      </c>
      <c r="H780" s="2" t="s">
        <v>554</v>
      </c>
      <c r="I780" s="4">
        <v>2</v>
      </c>
      <c r="J780" s="5">
        <v>20532</v>
      </c>
      <c r="K780" s="5">
        <f>ROUND(IF(ISNUMBER(J780), I780*J780, I780),5)</f>
        <v>41064</v>
      </c>
    </row>
    <row r="781" spans="1:11" x14ac:dyDescent="0.3">
      <c r="A781" s="2" t="s">
        <v>11</v>
      </c>
      <c r="B781" s="3">
        <v>46034</v>
      </c>
      <c r="C781" s="2" t="s">
        <v>726</v>
      </c>
      <c r="D781" s="2" t="s">
        <v>320</v>
      </c>
      <c r="E781" s="2" t="s">
        <v>451</v>
      </c>
      <c r="F781" s="2" t="s">
        <v>540</v>
      </c>
      <c r="G781" s="2" t="s">
        <v>550</v>
      </c>
      <c r="H781" s="2" t="s">
        <v>553</v>
      </c>
      <c r="I781" s="4">
        <v>3</v>
      </c>
      <c r="J781" s="5">
        <v>169000</v>
      </c>
      <c r="K781" s="5">
        <f>ROUND(IF(ISNUMBER(J781), I781*J781, I781),5)</f>
        <v>507000</v>
      </c>
    </row>
    <row r="782" spans="1:11" x14ac:dyDescent="0.3">
      <c r="A782" s="2" t="s">
        <v>11</v>
      </c>
      <c r="B782" s="3">
        <v>46034</v>
      </c>
      <c r="C782" s="2" t="s">
        <v>727</v>
      </c>
      <c r="D782" s="2" t="s">
        <v>316</v>
      </c>
      <c r="E782" s="2" t="s">
        <v>455</v>
      </c>
      <c r="F782" s="2" t="s">
        <v>542</v>
      </c>
      <c r="G782" s="2" t="s">
        <v>551</v>
      </c>
      <c r="H782" s="2" t="s">
        <v>553</v>
      </c>
      <c r="I782" s="4">
        <v>2</v>
      </c>
      <c r="J782" s="5">
        <v>4000</v>
      </c>
      <c r="K782" s="5">
        <f>ROUND(IF(ISNUMBER(J782), I782*J782, I782),5)</f>
        <v>8000</v>
      </c>
    </row>
    <row r="783" spans="1:11" x14ac:dyDescent="0.3">
      <c r="A783" s="2" t="s">
        <v>11</v>
      </c>
      <c r="B783" s="3">
        <v>46035</v>
      </c>
      <c r="C783" s="2" t="s">
        <v>728</v>
      </c>
      <c r="D783" s="2" t="s">
        <v>440</v>
      </c>
      <c r="E783" s="2" t="s">
        <v>921</v>
      </c>
      <c r="F783" s="2" t="s">
        <v>545</v>
      </c>
      <c r="G783" s="2" t="s">
        <v>549</v>
      </c>
      <c r="H783" s="2" t="s">
        <v>553</v>
      </c>
      <c r="I783" s="4">
        <v>1</v>
      </c>
      <c r="J783" s="5">
        <v>180000</v>
      </c>
      <c r="K783" s="5">
        <f>ROUND(IF(ISNUMBER(J783), I783*J783, I783),5)</f>
        <v>180000</v>
      </c>
    </row>
    <row r="784" spans="1:11" x14ac:dyDescent="0.3">
      <c r="A784" s="2" t="s">
        <v>11</v>
      </c>
      <c r="B784" s="3">
        <v>46035</v>
      </c>
      <c r="C784" s="2" t="s">
        <v>729</v>
      </c>
      <c r="D784" s="2" t="s">
        <v>891</v>
      </c>
      <c r="E784" s="2" t="s">
        <v>513</v>
      </c>
      <c r="F784" s="2" t="s">
        <v>546</v>
      </c>
      <c r="G784" s="2" t="s">
        <v>549</v>
      </c>
      <c r="H784" s="2" t="s">
        <v>553</v>
      </c>
      <c r="I784" s="4">
        <v>2</v>
      </c>
      <c r="J784" s="5">
        <v>275000</v>
      </c>
      <c r="K784" s="5">
        <f>ROUND(IF(ISNUMBER(J784), I784*J784, I784),5)</f>
        <v>550000</v>
      </c>
    </row>
    <row r="785" spans="1:11" x14ac:dyDescent="0.3">
      <c r="A785" s="2" t="s">
        <v>11</v>
      </c>
      <c r="B785" s="3">
        <v>46035</v>
      </c>
      <c r="C785" s="2" t="s">
        <v>730</v>
      </c>
      <c r="D785" s="2" t="s">
        <v>891</v>
      </c>
      <c r="E785" s="2" t="s">
        <v>513</v>
      </c>
      <c r="F785" s="2" t="s">
        <v>546</v>
      </c>
      <c r="G785" s="2" t="s">
        <v>549</v>
      </c>
      <c r="H785" s="2" t="s">
        <v>553</v>
      </c>
      <c r="I785" s="4">
        <v>2</v>
      </c>
      <c r="J785" s="5">
        <v>275000</v>
      </c>
      <c r="K785" s="5">
        <f>ROUND(IF(ISNUMBER(J785), I785*J785, I785),5)</f>
        <v>550000</v>
      </c>
    </row>
    <row r="786" spans="1:11" x14ac:dyDescent="0.3">
      <c r="A786" s="2" t="s">
        <v>11</v>
      </c>
      <c r="B786" s="3">
        <v>46036</v>
      </c>
      <c r="C786" s="2" t="s">
        <v>731</v>
      </c>
      <c r="D786" s="2" t="s">
        <v>427</v>
      </c>
      <c r="E786" s="2" t="s">
        <v>490</v>
      </c>
      <c r="F786" s="2" t="s">
        <v>542</v>
      </c>
      <c r="G786" s="2" t="s">
        <v>551</v>
      </c>
      <c r="H786" s="2" t="s">
        <v>553</v>
      </c>
      <c r="I786" s="4">
        <v>2</v>
      </c>
      <c r="J786" s="5">
        <v>5500</v>
      </c>
      <c r="K786" s="5">
        <f>ROUND(IF(ISNUMBER(J786), I786*J786, I786),5)</f>
        <v>11000</v>
      </c>
    </row>
    <row r="787" spans="1:11" x14ac:dyDescent="0.3">
      <c r="A787" s="2" t="s">
        <v>11</v>
      </c>
      <c r="B787" s="3">
        <v>46036</v>
      </c>
      <c r="C787" s="2" t="s">
        <v>732</v>
      </c>
      <c r="D787" s="2" t="s">
        <v>391</v>
      </c>
      <c r="E787" s="2" t="s">
        <v>454</v>
      </c>
      <c r="F787" s="2" t="s">
        <v>543</v>
      </c>
      <c r="G787" s="2" t="s">
        <v>549</v>
      </c>
      <c r="H787" s="2" t="s">
        <v>553</v>
      </c>
      <c r="I787" s="4">
        <v>1</v>
      </c>
      <c r="J787" s="5">
        <v>20480</v>
      </c>
      <c r="K787" s="5">
        <f>ROUND(IF(ISNUMBER(J787), I787*J787, I787),5)</f>
        <v>20480</v>
      </c>
    </row>
    <row r="788" spans="1:11" x14ac:dyDescent="0.3">
      <c r="A788" s="2" t="s">
        <v>11</v>
      </c>
      <c r="B788" s="3">
        <v>46036</v>
      </c>
      <c r="C788" s="2" t="s">
        <v>732</v>
      </c>
      <c r="D788" s="2" t="s">
        <v>391</v>
      </c>
      <c r="E788" s="2" t="s">
        <v>454</v>
      </c>
      <c r="F788" s="2" t="s">
        <v>543</v>
      </c>
      <c r="G788" s="2" t="s">
        <v>549</v>
      </c>
      <c r="H788" s="2" t="s">
        <v>553</v>
      </c>
      <c r="I788" s="4">
        <v>2</v>
      </c>
      <c r="J788" s="5">
        <v>25600</v>
      </c>
      <c r="K788" s="5">
        <f>ROUND(IF(ISNUMBER(J788), I788*J788, I788),5)</f>
        <v>51200</v>
      </c>
    </row>
    <row r="789" spans="1:11" x14ac:dyDescent="0.3">
      <c r="A789" s="2" t="s">
        <v>11</v>
      </c>
      <c r="B789" s="3">
        <v>46038</v>
      </c>
      <c r="C789" s="2" t="s">
        <v>733</v>
      </c>
      <c r="D789" s="2" t="s">
        <v>313</v>
      </c>
      <c r="E789" s="2" t="s">
        <v>444</v>
      </c>
      <c r="F789" s="2" t="s">
        <v>519</v>
      </c>
      <c r="G789" s="2" t="s">
        <v>549</v>
      </c>
      <c r="H789" s="2" t="s">
        <v>553</v>
      </c>
      <c r="I789" s="4">
        <v>2</v>
      </c>
      <c r="J789" s="5">
        <v>133347.5</v>
      </c>
      <c r="K789" s="5">
        <f>ROUND(IF(ISNUMBER(J789), I789*J789, I789),5)</f>
        <v>266695</v>
      </c>
    </row>
    <row r="790" spans="1:11" x14ac:dyDescent="0.3">
      <c r="A790" s="2" t="s">
        <v>11</v>
      </c>
      <c r="B790" s="3">
        <v>46043</v>
      </c>
      <c r="C790" s="2" t="s">
        <v>734</v>
      </c>
      <c r="D790" s="2" t="s">
        <v>318</v>
      </c>
      <c r="E790" s="2" t="s">
        <v>457</v>
      </c>
      <c r="F790" s="2" t="s">
        <v>542</v>
      </c>
      <c r="G790" s="2" t="s">
        <v>550</v>
      </c>
      <c r="H790" s="2" t="s">
        <v>554</v>
      </c>
      <c r="I790" s="4">
        <v>2</v>
      </c>
      <c r="J790" s="5">
        <v>23750</v>
      </c>
      <c r="K790" s="5">
        <f>ROUND(IF(ISNUMBER(J790), I790*J790, I790),5)</f>
        <v>47500</v>
      </c>
    </row>
    <row r="791" spans="1:11" x14ac:dyDescent="0.3">
      <c r="A791" s="2" t="s">
        <v>11</v>
      </c>
      <c r="B791" s="3">
        <v>46043</v>
      </c>
      <c r="C791" s="2" t="s">
        <v>735</v>
      </c>
      <c r="D791" s="2" t="s">
        <v>875</v>
      </c>
      <c r="E791" s="2" t="s">
        <v>469</v>
      </c>
      <c r="F791" s="2" t="s">
        <v>545</v>
      </c>
      <c r="G791" s="2" t="s">
        <v>551</v>
      </c>
      <c r="H791" s="2" t="s">
        <v>554</v>
      </c>
      <c r="I791" s="4">
        <v>1</v>
      </c>
      <c r="J791" s="5">
        <v>47200</v>
      </c>
      <c r="K791" s="5">
        <f>ROUND(IF(ISNUMBER(J791), I791*J791, I791),5)</f>
        <v>47200</v>
      </c>
    </row>
    <row r="792" spans="1:11" x14ac:dyDescent="0.3">
      <c r="A792" s="2" t="s">
        <v>11</v>
      </c>
      <c r="B792" s="3">
        <v>46043</v>
      </c>
      <c r="C792" s="2" t="s">
        <v>736</v>
      </c>
      <c r="D792" s="2" t="s">
        <v>335</v>
      </c>
      <c r="E792" s="2" t="s">
        <v>472</v>
      </c>
      <c r="F792" s="2" t="s">
        <v>544</v>
      </c>
      <c r="G792" s="2" t="s">
        <v>549</v>
      </c>
      <c r="H792" s="2" t="s">
        <v>553</v>
      </c>
      <c r="I792" s="4">
        <v>1</v>
      </c>
      <c r="J792" s="5">
        <v>6949.31</v>
      </c>
      <c r="K792" s="5">
        <f>ROUND(IF(ISNUMBER(J792), I792*J792, I792),5)</f>
        <v>6949.31</v>
      </c>
    </row>
    <row r="793" spans="1:11" x14ac:dyDescent="0.3">
      <c r="A793" s="2" t="s">
        <v>11</v>
      </c>
      <c r="B793" s="3">
        <v>46043</v>
      </c>
      <c r="C793" s="2" t="s">
        <v>737</v>
      </c>
      <c r="D793" s="2" t="s">
        <v>335</v>
      </c>
      <c r="E793" s="2" t="s">
        <v>473</v>
      </c>
      <c r="F793" s="2" t="s">
        <v>544</v>
      </c>
      <c r="G793" s="2" t="s">
        <v>549</v>
      </c>
      <c r="H793" s="2" t="s">
        <v>553</v>
      </c>
      <c r="I793" s="4">
        <v>1</v>
      </c>
      <c r="J793" s="5">
        <v>19068.37</v>
      </c>
      <c r="K793" s="5">
        <f>ROUND(IF(ISNUMBER(J793), I793*J793, I793),5)</f>
        <v>19068.37</v>
      </c>
    </row>
    <row r="794" spans="1:11" x14ac:dyDescent="0.3">
      <c r="A794" s="2" t="s">
        <v>11</v>
      </c>
      <c r="B794" s="3">
        <v>46043</v>
      </c>
      <c r="C794" s="2" t="s">
        <v>738</v>
      </c>
      <c r="D794" s="2" t="s">
        <v>336</v>
      </c>
      <c r="E794" s="2" t="s">
        <v>473</v>
      </c>
      <c r="F794" s="2" t="s">
        <v>544</v>
      </c>
      <c r="G794" s="2" t="s">
        <v>549</v>
      </c>
      <c r="H794" s="2" t="s">
        <v>553</v>
      </c>
      <c r="I794" s="4">
        <v>1</v>
      </c>
      <c r="J794" s="5">
        <v>15637.5</v>
      </c>
      <c r="K794" s="5">
        <f>ROUND(IF(ISNUMBER(J794), I794*J794, I794),5)</f>
        <v>15637.5</v>
      </c>
    </row>
    <row r="795" spans="1:11" x14ac:dyDescent="0.3">
      <c r="A795" s="2" t="s">
        <v>11</v>
      </c>
      <c r="B795" s="3">
        <v>46043</v>
      </c>
      <c r="C795" s="2" t="s">
        <v>739</v>
      </c>
      <c r="D795" s="2" t="s">
        <v>334</v>
      </c>
      <c r="E795" s="2" t="s">
        <v>471</v>
      </c>
      <c r="F795" s="2" t="s">
        <v>544</v>
      </c>
      <c r="G795" s="2" t="s">
        <v>549</v>
      </c>
      <c r="H795" s="2" t="s">
        <v>553</v>
      </c>
      <c r="I795" s="4">
        <v>1</v>
      </c>
      <c r="J795" s="5">
        <v>3127.5</v>
      </c>
      <c r="K795" s="5">
        <f>ROUND(IF(ISNUMBER(J795), I795*J795, I795),5)</f>
        <v>3127.5</v>
      </c>
    </row>
    <row r="796" spans="1:11" x14ac:dyDescent="0.3">
      <c r="A796" s="2" t="s">
        <v>11</v>
      </c>
      <c r="B796" s="3">
        <v>46043</v>
      </c>
      <c r="C796" s="2" t="s">
        <v>740</v>
      </c>
      <c r="D796" s="2" t="s">
        <v>328</v>
      </c>
      <c r="E796" s="2" t="s">
        <v>454</v>
      </c>
      <c r="F796" s="2" t="s">
        <v>543</v>
      </c>
      <c r="G796" s="2" t="s">
        <v>552</v>
      </c>
      <c r="H796" s="2" t="s">
        <v>554</v>
      </c>
      <c r="I796" s="4">
        <v>1</v>
      </c>
      <c r="J796" s="5">
        <v>2000</v>
      </c>
      <c r="K796" s="5">
        <f>ROUND(IF(ISNUMBER(J796), I796*J796, I796),5)</f>
        <v>2000</v>
      </c>
    </row>
    <row r="797" spans="1:11" x14ac:dyDescent="0.3">
      <c r="A797" s="2" t="s">
        <v>11</v>
      </c>
      <c r="B797" s="3">
        <v>46043</v>
      </c>
      <c r="C797" s="2" t="s">
        <v>741</v>
      </c>
      <c r="D797" s="2" t="s">
        <v>328</v>
      </c>
      <c r="E797" s="2" t="s">
        <v>454</v>
      </c>
      <c r="F797" s="2" t="s">
        <v>543</v>
      </c>
      <c r="G797" s="2" t="s">
        <v>552</v>
      </c>
      <c r="H797" s="2" t="s">
        <v>554</v>
      </c>
      <c r="I797" s="4">
        <v>1</v>
      </c>
      <c r="J797" s="5">
        <v>2000</v>
      </c>
      <c r="K797" s="5">
        <f>ROUND(IF(ISNUMBER(J797), I797*J797, I797),5)</f>
        <v>2000</v>
      </c>
    </row>
    <row r="798" spans="1:11" x14ac:dyDescent="0.3">
      <c r="A798" s="2" t="s">
        <v>11</v>
      </c>
      <c r="B798" s="3">
        <v>46043</v>
      </c>
      <c r="C798" s="2" t="s">
        <v>742</v>
      </c>
      <c r="D798" s="2" t="s">
        <v>402</v>
      </c>
      <c r="E798" s="2" t="s">
        <v>454</v>
      </c>
      <c r="F798" s="2" t="s">
        <v>543</v>
      </c>
      <c r="G798" s="2" t="s">
        <v>552</v>
      </c>
      <c r="H798" s="2" t="s">
        <v>554</v>
      </c>
      <c r="I798" s="4">
        <v>1</v>
      </c>
      <c r="J798" s="5">
        <v>12500</v>
      </c>
      <c r="K798" s="5">
        <f>ROUND(IF(ISNUMBER(J798), I798*J798, I798),5)</f>
        <v>12500</v>
      </c>
    </row>
    <row r="799" spans="1:11" x14ac:dyDescent="0.3">
      <c r="A799" s="2" t="s">
        <v>11</v>
      </c>
      <c r="B799" s="3">
        <v>46044</v>
      </c>
      <c r="C799" s="2" t="s">
        <v>743</v>
      </c>
      <c r="D799" s="2" t="s">
        <v>429</v>
      </c>
      <c r="E799" s="2" t="s">
        <v>459</v>
      </c>
      <c r="F799" s="2" t="s">
        <v>519</v>
      </c>
      <c r="G799" s="2" t="s">
        <v>548</v>
      </c>
      <c r="H799" s="2" t="s">
        <v>553</v>
      </c>
      <c r="I799" s="4">
        <v>1</v>
      </c>
      <c r="J799" s="5">
        <v>1772887.5</v>
      </c>
      <c r="K799" s="5">
        <f>ROUND(IF(ISNUMBER(J799), I799*J799, I799),5)</f>
        <v>1772887.5</v>
      </c>
    </row>
    <row r="800" spans="1:11" x14ac:dyDescent="0.3">
      <c r="A800" s="2" t="s">
        <v>11</v>
      </c>
      <c r="B800" s="3">
        <v>46044</v>
      </c>
      <c r="C800" s="2" t="s">
        <v>743</v>
      </c>
      <c r="D800" s="2" t="s">
        <v>429</v>
      </c>
      <c r="E800" s="2" t="s">
        <v>451</v>
      </c>
      <c r="F800" s="2" t="s">
        <v>540</v>
      </c>
      <c r="G800" s="2" t="s">
        <v>548</v>
      </c>
      <c r="H800" s="2" t="s">
        <v>553</v>
      </c>
      <c r="I800" s="4">
        <v>6</v>
      </c>
      <c r="J800" s="5"/>
      <c r="K800" s="5"/>
    </row>
    <row r="801" spans="1:11" x14ac:dyDescent="0.3">
      <c r="A801" s="2" t="s">
        <v>11</v>
      </c>
      <c r="B801" s="3">
        <v>46044</v>
      </c>
      <c r="C801" s="2" t="s">
        <v>743</v>
      </c>
      <c r="D801" s="2" t="s">
        <v>429</v>
      </c>
      <c r="E801" s="2" t="s">
        <v>460</v>
      </c>
      <c r="F801" s="2" t="s">
        <v>519</v>
      </c>
      <c r="G801" s="2" t="s">
        <v>548</v>
      </c>
      <c r="H801" s="2" t="s">
        <v>553</v>
      </c>
      <c r="I801" s="4">
        <v>1</v>
      </c>
      <c r="J801" s="5"/>
      <c r="K801" s="5"/>
    </row>
    <row r="802" spans="1:11" x14ac:dyDescent="0.3">
      <c r="A802" s="2" t="s">
        <v>11</v>
      </c>
      <c r="B802" s="3">
        <v>46044</v>
      </c>
      <c r="C802" s="2" t="s">
        <v>744</v>
      </c>
      <c r="D802" s="2" t="s">
        <v>381</v>
      </c>
      <c r="E802" s="2" t="s">
        <v>513</v>
      </c>
      <c r="F802" s="2" t="s">
        <v>546</v>
      </c>
      <c r="G802" s="2" t="s">
        <v>549</v>
      </c>
      <c r="H802" s="2" t="s">
        <v>554</v>
      </c>
      <c r="I802" s="4">
        <v>10</v>
      </c>
      <c r="J802" s="5">
        <v>2360</v>
      </c>
      <c r="K802" s="5">
        <f>ROUND(IF(ISNUMBER(J802), I802*J802, I802),5)</f>
        <v>23600</v>
      </c>
    </row>
    <row r="803" spans="1:11" x14ac:dyDescent="0.3">
      <c r="A803" s="2" t="s">
        <v>11</v>
      </c>
      <c r="B803" s="3">
        <v>46044</v>
      </c>
      <c r="C803" s="2" t="s">
        <v>745</v>
      </c>
      <c r="D803" s="2" t="s">
        <v>363</v>
      </c>
      <c r="E803" s="2" t="s">
        <v>472</v>
      </c>
      <c r="F803" s="2" t="s">
        <v>544</v>
      </c>
      <c r="G803" s="2" t="s">
        <v>551</v>
      </c>
      <c r="H803" s="2" t="s">
        <v>554</v>
      </c>
      <c r="I803" s="4">
        <v>1</v>
      </c>
      <c r="J803" s="5">
        <v>7500</v>
      </c>
      <c r="K803" s="5">
        <f>ROUND(IF(ISNUMBER(J803), I803*J803, I803),5)</f>
        <v>7500</v>
      </c>
    </row>
    <row r="804" spans="1:11" x14ac:dyDescent="0.3">
      <c r="A804" s="2" t="s">
        <v>11</v>
      </c>
      <c r="B804" s="3">
        <v>46044</v>
      </c>
      <c r="C804" s="2" t="s">
        <v>746</v>
      </c>
      <c r="D804" s="2" t="s">
        <v>883</v>
      </c>
      <c r="E804" s="2" t="s">
        <v>528</v>
      </c>
      <c r="F804" s="2" t="s">
        <v>540</v>
      </c>
      <c r="G804" s="2" t="s">
        <v>549</v>
      </c>
      <c r="H804" s="2" t="s">
        <v>553</v>
      </c>
      <c r="I804" s="4">
        <v>1</v>
      </c>
      <c r="J804" s="5">
        <v>67000</v>
      </c>
      <c r="K804" s="5">
        <f>ROUND(IF(ISNUMBER(J804), I804*J804, I804),5)</f>
        <v>67000</v>
      </c>
    </row>
    <row r="805" spans="1:11" x14ac:dyDescent="0.3">
      <c r="A805" s="2" t="s">
        <v>11</v>
      </c>
      <c r="B805" s="3">
        <v>46044</v>
      </c>
      <c r="C805" s="2" t="s">
        <v>747</v>
      </c>
      <c r="D805" s="2" t="s">
        <v>867</v>
      </c>
      <c r="E805" s="2" t="s">
        <v>465</v>
      </c>
      <c r="F805" s="2" t="s">
        <v>544</v>
      </c>
      <c r="G805" s="2" t="s">
        <v>551</v>
      </c>
      <c r="H805" s="2" t="s">
        <v>553</v>
      </c>
      <c r="I805" s="4">
        <v>1</v>
      </c>
      <c r="J805" s="5">
        <v>185000</v>
      </c>
      <c r="K805" s="5">
        <f>ROUND(IF(ISNUMBER(J805), I805*J805, I805),5)</f>
        <v>185000</v>
      </c>
    </row>
    <row r="806" spans="1:11" x14ac:dyDescent="0.3">
      <c r="A806" s="2" t="s">
        <v>11</v>
      </c>
      <c r="B806" s="3">
        <v>46044</v>
      </c>
      <c r="C806" s="2" t="s">
        <v>747</v>
      </c>
      <c r="D806" s="2" t="s">
        <v>867</v>
      </c>
      <c r="E806" s="2" t="s">
        <v>465</v>
      </c>
      <c r="F806" s="2" t="s">
        <v>544</v>
      </c>
      <c r="G806" s="2" t="s">
        <v>551</v>
      </c>
      <c r="H806" s="2" t="s">
        <v>553</v>
      </c>
      <c r="I806" s="4">
        <v>1</v>
      </c>
      <c r="J806" s="5">
        <v>119000</v>
      </c>
      <c r="K806" s="5">
        <f>ROUND(IF(ISNUMBER(J806), I806*J806, I806),5)</f>
        <v>119000</v>
      </c>
    </row>
    <row r="807" spans="1:11" x14ac:dyDescent="0.3">
      <c r="A807" s="2" t="s">
        <v>11</v>
      </c>
      <c r="B807" s="3">
        <v>46044</v>
      </c>
      <c r="C807" s="2" t="s">
        <v>747</v>
      </c>
      <c r="D807" s="2" t="s">
        <v>867</v>
      </c>
      <c r="E807" s="2" t="s">
        <v>472</v>
      </c>
      <c r="F807" s="2" t="s">
        <v>544</v>
      </c>
      <c r="G807" s="2" t="s">
        <v>551</v>
      </c>
      <c r="H807" s="2" t="s">
        <v>553</v>
      </c>
      <c r="I807" s="4">
        <v>1</v>
      </c>
      <c r="J807" s="5">
        <v>61000</v>
      </c>
      <c r="K807" s="5">
        <f>ROUND(IF(ISNUMBER(J807), I807*J807, I807),5)</f>
        <v>61000</v>
      </c>
    </row>
    <row r="808" spans="1:11" x14ac:dyDescent="0.3">
      <c r="A808" s="2" t="s">
        <v>11</v>
      </c>
      <c r="B808" s="3">
        <v>46044</v>
      </c>
      <c r="C808" s="2" t="s">
        <v>747</v>
      </c>
      <c r="D808" s="2" t="s">
        <v>867</v>
      </c>
      <c r="E808" s="2" t="s">
        <v>441</v>
      </c>
      <c r="F808" s="2" t="s">
        <v>547</v>
      </c>
      <c r="G808" s="2" t="s">
        <v>551</v>
      </c>
      <c r="H808" s="2" t="s">
        <v>553</v>
      </c>
      <c r="I808" s="4"/>
      <c r="J808" s="5">
        <v>-11000</v>
      </c>
      <c r="K808" s="5">
        <v>-11000</v>
      </c>
    </row>
    <row r="809" spans="1:11" x14ac:dyDescent="0.3">
      <c r="A809" s="2" t="s">
        <v>11</v>
      </c>
      <c r="B809" s="3">
        <v>46044</v>
      </c>
      <c r="C809" s="2" t="s">
        <v>747</v>
      </c>
      <c r="D809" s="2" t="s">
        <v>867</v>
      </c>
      <c r="E809" s="2" t="s">
        <v>465</v>
      </c>
      <c r="F809" s="2" t="s">
        <v>544</v>
      </c>
      <c r="G809" s="2" t="s">
        <v>551</v>
      </c>
      <c r="H809" s="2" t="s">
        <v>553</v>
      </c>
      <c r="I809" s="4">
        <v>1</v>
      </c>
      <c r="J809" s="5">
        <v>88000</v>
      </c>
      <c r="K809" s="5">
        <f>ROUND(IF(ISNUMBER(J809), I809*J809, I809),5)</f>
        <v>88000</v>
      </c>
    </row>
    <row r="810" spans="1:11" x14ac:dyDescent="0.3">
      <c r="A810" s="2" t="s">
        <v>11</v>
      </c>
      <c r="B810" s="3">
        <v>46044</v>
      </c>
      <c r="C810" s="2" t="s">
        <v>747</v>
      </c>
      <c r="D810" s="2" t="s">
        <v>867</v>
      </c>
      <c r="E810" s="2" t="s">
        <v>472</v>
      </c>
      <c r="F810" s="2" t="s">
        <v>544</v>
      </c>
      <c r="G810" s="2" t="s">
        <v>551</v>
      </c>
      <c r="H810" s="2" t="s">
        <v>553</v>
      </c>
      <c r="I810" s="4">
        <v>1</v>
      </c>
      <c r="J810" s="5">
        <v>17600</v>
      </c>
      <c r="K810" s="5">
        <f>ROUND(IF(ISNUMBER(J810), I810*J810, I810),5)</f>
        <v>17600</v>
      </c>
    </row>
    <row r="811" spans="1:11" x14ac:dyDescent="0.3">
      <c r="A811" s="2" t="s">
        <v>11</v>
      </c>
      <c r="B811" s="3">
        <v>46045</v>
      </c>
      <c r="C811" s="2" t="s">
        <v>748</v>
      </c>
      <c r="D811" s="2" t="s">
        <v>324</v>
      </c>
      <c r="E811" s="2" t="s">
        <v>534</v>
      </c>
      <c r="F811" s="2" t="s">
        <v>519</v>
      </c>
      <c r="G811" s="2" t="s">
        <v>550</v>
      </c>
      <c r="H811" s="2" t="s">
        <v>553</v>
      </c>
      <c r="I811" s="4">
        <v>1</v>
      </c>
      <c r="J811" s="5">
        <v>260000</v>
      </c>
      <c r="K811" s="5">
        <f>ROUND(IF(ISNUMBER(J811), I811*J811, I811),5)</f>
        <v>260000</v>
      </c>
    </row>
    <row r="812" spans="1:11" x14ac:dyDescent="0.3">
      <c r="A812" s="2" t="s">
        <v>11</v>
      </c>
      <c r="B812" s="3">
        <v>46050</v>
      </c>
      <c r="C812" s="2" t="s">
        <v>749</v>
      </c>
      <c r="D812" s="2" t="s">
        <v>892</v>
      </c>
      <c r="E812" s="2" t="s">
        <v>475</v>
      </c>
      <c r="F812" s="2" t="s">
        <v>450</v>
      </c>
      <c r="G812" s="2" t="s">
        <v>551</v>
      </c>
      <c r="H812" s="2" t="s">
        <v>553</v>
      </c>
      <c r="I812" s="4">
        <v>1</v>
      </c>
      <c r="J812" s="5">
        <v>64000</v>
      </c>
      <c r="K812" s="5">
        <f>ROUND(IF(ISNUMBER(J812), I812*J812, I812),5)</f>
        <v>64000</v>
      </c>
    </row>
    <row r="813" spans="1:11" x14ac:dyDescent="0.3">
      <c r="A813" s="2" t="s">
        <v>11</v>
      </c>
      <c r="B813" s="3">
        <v>46050</v>
      </c>
      <c r="C813" s="2" t="s">
        <v>749</v>
      </c>
      <c r="D813" s="2" t="s">
        <v>892</v>
      </c>
      <c r="E813" s="2" t="s">
        <v>916</v>
      </c>
      <c r="F813" s="2" t="s">
        <v>544</v>
      </c>
      <c r="G813" s="2" t="s">
        <v>551</v>
      </c>
      <c r="H813" s="2" t="s">
        <v>553</v>
      </c>
      <c r="I813" s="4">
        <v>1</v>
      </c>
      <c r="J813" s="5">
        <v>15000</v>
      </c>
      <c r="K813" s="5">
        <f>ROUND(IF(ISNUMBER(J813), I813*J813, I813),5)</f>
        <v>15000</v>
      </c>
    </row>
    <row r="814" spans="1:11" x14ac:dyDescent="0.3">
      <c r="A814" s="2" t="s">
        <v>11</v>
      </c>
      <c r="B814" s="3">
        <v>46050</v>
      </c>
      <c r="C814" s="2" t="s">
        <v>750</v>
      </c>
      <c r="D814" s="2" t="s">
        <v>313</v>
      </c>
      <c r="E814" s="2" t="s">
        <v>479</v>
      </c>
      <c r="F814" s="2" t="s">
        <v>542</v>
      </c>
      <c r="G814" s="2" t="s">
        <v>550</v>
      </c>
      <c r="H814" s="2" t="s">
        <v>553</v>
      </c>
      <c r="I814" s="4">
        <v>2</v>
      </c>
      <c r="J814" s="5">
        <v>16450</v>
      </c>
      <c r="K814" s="5">
        <f>ROUND(IF(ISNUMBER(J814), I814*J814, I814),5)</f>
        <v>32900</v>
      </c>
    </row>
    <row r="815" spans="1:11" x14ac:dyDescent="0.3">
      <c r="A815" s="2" t="s">
        <v>11</v>
      </c>
      <c r="B815" s="3">
        <v>46050</v>
      </c>
      <c r="C815" s="2" t="s">
        <v>750</v>
      </c>
      <c r="D815" s="2" t="s">
        <v>313</v>
      </c>
      <c r="E815" s="2" t="s">
        <v>491</v>
      </c>
      <c r="F815" s="2" t="s">
        <v>542</v>
      </c>
      <c r="G815" s="2" t="s">
        <v>550</v>
      </c>
      <c r="H815" s="2" t="s">
        <v>553</v>
      </c>
      <c r="I815" s="4">
        <v>1</v>
      </c>
      <c r="J815" s="5">
        <v>38135</v>
      </c>
      <c r="K815" s="5">
        <f>ROUND(IF(ISNUMBER(J815), I815*J815, I815),5)</f>
        <v>38135</v>
      </c>
    </row>
    <row r="816" spans="1:11" x14ac:dyDescent="0.3">
      <c r="A816" s="2" t="s">
        <v>11</v>
      </c>
      <c r="B816" s="3">
        <v>46050</v>
      </c>
      <c r="C816" s="2" t="s">
        <v>751</v>
      </c>
      <c r="D816" s="2" t="s">
        <v>313</v>
      </c>
      <c r="E816" s="2" t="s">
        <v>510</v>
      </c>
      <c r="F816" s="2" t="s">
        <v>542</v>
      </c>
      <c r="G816" s="2" t="s">
        <v>550</v>
      </c>
      <c r="H816" s="2" t="s">
        <v>553</v>
      </c>
      <c r="I816" s="4">
        <v>2</v>
      </c>
      <c r="J816" s="5">
        <v>22000</v>
      </c>
      <c r="K816" s="5">
        <f>ROUND(IF(ISNUMBER(J816), I816*J816, I816),5)</f>
        <v>44000</v>
      </c>
    </row>
    <row r="817" spans="1:11" x14ac:dyDescent="0.3">
      <c r="A817" s="2" t="s">
        <v>11</v>
      </c>
      <c r="B817" s="3">
        <v>46051</v>
      </c>
      <c r="C817" s="2" t="s">
        <v>752</v>
      </c>
      <c r="D817" s="2" t="s">
        <v>408</v>
      </c>
      <c r="E817" s="2" t="s">
        <v>488</v>
      </c>
      <c r="F817" s="2" t="s">
        <v>519</v>
      </c>
      <c r="G817" s="2" t="s">
        <v>548</v>
      </c>
      <c r="H817" s="2" t="s">
        <v>553</v>
      </c>
      <c r="I817" s="4">
        <v>1</v>
      </c>
      <c r="J817" s="5">
        <v>91000</v>
      </c>
      <c r="K817" s="5">
        <f>ROUND(IF(ISNUMBER(J817), I817*J817, I817),5)</f>
        <v>91000</v>
      </c>
    </row>
    <row r="818" spans="1:11" x14ac:dyDescent="0.3">
      <c r="A818" s="2" t="s">
        <v>11</v>
      </c>
      <c r="B818" s="3">
        <v>46051</v>
      </c>
      <c r="C818" s="2" t="s">
        <v>752</v>
      </c>
      <c r="D818" s="2" t="s">
        <v>408</v>
      </c>
      <c r="E818" s="2" t="s">
        <v>442</v>
      </c>
      <c r="F818" s="2" t="s">
        <v>540</v>
      </c>
      <c r="G818" s="2" t="s">
        <v>548</v>
      </c>
      <c r="H818" s="2" t="s">
        <v>553</v>
      </c>
      <c r="I818" s="4">
        <v>2</v>
      </c>
      <c r="J818" s="5">
        <v>54000</v>
      </c>
      <c r="K818" s="5">
        <f>ROUND(IF(ISNUMBER(J818), I818*J818, I818),5)</f>
        <v>108000</v>
      </c>
    </row>
    <row r="819" spans="1:11" x14ac:dyDescent="0.3">
      <c r="A819" s="2" t="s">
        <v>11</v>
      </c>
      <c r="B819" s="3">
        <v>46051</v>
      </c>
      <c r="C819" s="2" t="s">
        <v>753</v>
      </c>
      <c r="D819" s="2" t="s">
        <v>893</v>
      </c>
      <c r="E819" s="2" t="s">
        <v>481</v>
      </c>
      <c r="F819" s="2" t="s">
        <v>519</v>
      </c>
      <c r="G819" s="2" t="s">
        <v>548</v>
      </c>
      <c r="H819" s="2" t="s">
        <v>553</v>
      </c>
      <c r="I819" s="4">
        <v>1</v>
      </c>
      <c r="J819" s="5">
        <v>635000</v>
      </c>
      <c r="K819" s="5">
        <f>ROUND(IF(ISNUMBER(J819), I819*J819, I819),5)</f>
        <v>635000</v>
      </c>
    </row>
    <row r="820" spans="1:11" x14ac:dyDescent="0.3">
      <c r="A820" s="2" t="s">
        <v>11</v>
      </c>
      <c r="B820" s="3">
        <v>46051</v>
      </c>
      <c r="C820" s="2" t="s">
        <v>753</v>
      </c>
      <c r="D820" s="2" t="s">
        <v>893</v>
      </c>
      <c r="E820" s="2" t="s">
        <v>442</v>
      </c>
      <c r="F820" s="2" t="s">
        <v>540</v>
      </c>
      <c r="G820" s="2" t="s">
        <v>548</v>
      </c>
      <c r="H820" s="2" t="s">
        <v>553</v>
      </c>
      <c r="I820" s="4">
        <v>3</v>
      </c>
      <c r="J820" s="5"/>
      <c r="K820" s="5"/>
    </row>
    <row r="821" spans="1:11" x14ac:dyDescent="0.3">
      <c r="A821" s="2" t="s">
        <v>11</v>
      </c>
      <c r="B821" s="3">
        <v>46051</v>
      </c>
      <c r="C821" s="2" t="s">
        <v>753</v>
      </c>
      <c r="D821" s="2" t="s">
        <v>893</v>
      </c>
      <c r="E821" s="2" t="s">
        <v>483</v>
      </c>
      <c r="F821" s="2" t="s">
        <v>519</v>
      </c>
      <c r="G821" s="2" t="s">
        <v>548</v>
      </c>
      <c r="H821" s="2" t="s">
        <v>553</v>
      </c>
      <c r="I821" s="4">
        <v>1</v>
      </c>
      <c r="J821" s="5"/>
      <c r="K821" s="5"/>
    </row>
    <row r="822" spans="1:11" x14ac:dyDescent="0.3">
      <c r="A822" s="2" t="s">
        <v>11</v>
      </c>
      <c r="B822" s="3">
        <v>46051</v>
      </c>
      <c r="C822" s="2" t="s">
        <v>754</v>
      </c>
      <c r="D822" s="2" t="s">
        <v>403</v>
      </c>
      <c r="E822" s="2" t="s">
        <v>465</v>
      </c>
      <c r="F822" s="2" t="s">
        <v>544</v>
      </c>
      <c r="G822" s="2" t="s">
        <v>549</v>
      </c>
      <c r="H822" s="2" t="s">
        <v>553</v>
      </c>
      <c r="I822" s="4">
        <v>1</v>
      </c>
      <c r="J822" s="5">
        <v>94000</v>
      </c>
      <c r="K822" s="5">
        <f>ROUND(IF(ISNUMBER(J822), I822*J822, I822),5)</f>
        <v>94000</v>
      </c>
    </row>
    <row r="823" spans="1:11" x14ac:dyDescent="0.3">
      <c r="A823" s="2" t="s">
        <v>11</v>
      </c>
      <c r="B823" s="3">
        <v>46051</v>
      </c>
      <c r="C823" s="2" t="s">
        <v>755</v>
      </c>
      <c r="D823" s="2" t="s">
        <v>329</v>
      </c>
      <c r="E823" s="2" t="s">
        <v>922</v>
      </c>
      <c r="F823" s="2" t="s">
        <v>519</v>
      </c>
      <c r="G823" s="2" t="s">
        <v>548</v>
      </c>
      <c r="H823" s="2" t="s">
        <v>553</v>
      </c>
      <c r="I823" s="4">
        <v>1</v>
      </c>
      <c r="J823" s="5">
        <v>2396587.5</v>
      </c>
      <c r="K823" s="5">
        <f>ROUND(IF(ISNUMBER(J823), I823*J823, I823),5)</f>
        <v>2396587.5</v>
      </c>
    </row>
    <row r="824" spans="1:11" x14ac:dyDescent="0.3">
      <c r="A824" s="2" t="s">
        <v>11</v>
      </c>
      <c r="B824" s="3">
        <v>46051</v>
      </c>
      <c r="C824" s="2" t="s">
        <v>755</v>
      </c>
      <c r="D824" s="2" t="s">
        <v>329</v>
      </c>
      <c r="E824" s="2" t="s">
        <v>477</v>
      </c>
      <c r="F824" s="2" t="s">
        <v>540</v>
      </c>
      <c r="G824" s="2" t="s">
        <v>548</v>
      </c>
      <c r="H824" s="2" t="s">
        <v>553</v>
      </c>
      <c r="I824" s="4">
        <v>8</v>
      </c>
      <c r="J824" s="5">
        <v>194400</v>
      </c>
      <c r="K824" s="5">
        <f>ROUND(IF(ISNUMBER(J824), I824*J824, I824),5)</f>
        <v>1555200</v>
      </c>
    </row>
    <row r="825" spans="1:11" x14ac:dyDescent="0.3">
      <c r="A825" s="2" t="s">
        <v>11</v>
      </c>
      <c r="B825" s="3">
        <v>46051</v>
      </c>
      <c r="C825" s="2" t="s">
        <v>755</v>
      </c>
      <c r="D825" s="2" t="s">
        <v>329</v>
      </c>
      <c r="E825" s="2" t="s">
        <v>923</v>
      </c>
      <c r="F825" s="2" t="s">
        <v>540</v>
      </c>
      <c r="G825" s="2" t="s">
        <v>548</v>
      </c>
      <c r="H825" s="2" t="s">
        <v>553</v>
      </c>
      <c r="I825" s="4">
        <v>2</v>
      </c>
      <c r="J825" s="5">
        <v>105300</v>
      </c>
      <c r="K825" s="5">
        <f>ROUND(IF(ISNUMBER(J825), I825*J825, I825),5)</f>
        <v>210600</v>
      </c>
    </row>
    <row r="826" spans="1:11" x14ac:dyDescent="0.3">
      <c r="A826" s="2" t="s">
        <v>11</v>
      </c>
      <c r="B826" s="3">
        <v>46051</v>
      </c>
      <c r="C826" s="2" t="s">
        <v>755</v>
      </c>
      <c r="D826" s="2" t="s">
        <v>329</v>
      </c>
      <c r="E826" s="2" t="s">
        <v>468</v>
      </c>
      <c r="F826" s="2" t="s">
        <v>519</v>
      </c>
      <c r="G826" s="2" t="s">
        <v>548</v>
      </c>
      <c r="H826" s="2" t="s">
        <v>553</v>
      </c>
      <c r="I826" s="4">
        <v>1</v>
      </c>
      <c r="J826" s="5"/>
      <c r="K826" s="5"/>
    </row>
    <row r="827" spans="1:11" x14ac:dyDescent="0.3">
      <c r="A827" s="2" t="s">
        <v>11</v>
      </c>
      <c r="B827" s="3">
        <v>46051</v>
      </c>
      <c r="C827" s="2" t="s">
        <v>755</v>
      </c>
      <c r="D827" s="2" t="s">
        <v>329</v>
      </c>
      <c r="E827" s="2" t="s">
        <v>924</v>
      </c>
      <c r="F827" s="2" t="s">
        <v>542</v>
      </c>
      <c r="G827" s="2" t="s">
        <v>548</v>
      </c>
      <c r="H827" s="2" t="s">
        <v>553</v>
      </c>
      <c r="I827" s="4">
        <v>4</v>
      </c>
      <c r="J827" s="5">
        <v>16000</v>
      </c>
      <c r="K827" s="5">
        <f>ROUND(IF(ISNUMBER(J827), I827*J827, I827),5)</f>
        <v>64000</v>
      </c>
    </row>
    <row r="828" spans="1:11" x14ac:dyDescent="0.3">
      <c r="A828" s="2" t="s">
        <v>11</v>
      </c>
      <c r="B828" s="3">
        <v>46051</v>
      </c>
      <c r="C828" s="2" t="s">
        <v>755</v>
      </c>
      <c r="D828" s="2" t="s">
        <v>329</v>
      </c>
      <c r="E828" s="2" t="s">
        <v>496</v>
      </c>
      <c r="F828" s="2" t="s">
        <v>545</v>
      </c>
      <c r="G828" s="2" t="s">
        <v>548</v>
      </c>
      <c r="H828" s="2" t="s">
        <v>553</v>
      </c>
      <c r="I828" s="4">
        <v>4</v>
      </c>
      <c r="J828" s="5">
        <v>6500</v>
      </c>
      <c r="K828" s="5">
        <f>ROUND(IF(ISNUMBER(J828), I828*J828, I828),5)</f>
        <v>26000</v>
      </c>
    </row>
    <row r="829" spans="1:11" x14ac:dyDescent="0.3">
      <c r="A829" s="2" t="s">
        <v>11</v>
      </c>
      <c r="B829" s="3">
        <v>46051</v>
      </c>
      <c r="C829" s="2" t="s">
        <v>755</v>
      </c>
      <c r="D829" s="2" t="s">
        <v>329</v>
      </c>
      <c r="E829" s="2" t="s">
        <v>496</v>
      </c>
      <c r="F829" s="2" t="s">
        <v>545</v>
      </c>
      <c r="G829" s="2" t="s">
        <v>548</v>
      </c>
      <c r="H829" s="2" t="s">
        <v>553</v>
      </c>
      <c r="I829" s="4">
        <v>2</v>
      </c>
      <c r="J829" s="5">
        <v>7200</v>
      </c>
      <c r="K829" s="5">
        <f>ROUND(IF(ISNUMBER(J829), I829*J829, I829),5)</f>
        <v>14400</v>
      </c>
    </row>
    <row r="830" spans="1:11" x14ac:dyDescent="0.3">
      <c r="A830" s="2" t="s">
        <v>11</v>
      </c>
      <c r="B830" s="3">
        <v>46051</v>
      </c>
      <c r="C830" s="2" t="s">
        <v>755</v>
      </c>
      <c r="D830" s="2" t="s">
        <v>329</v>
      </c>
      <c r="E830" s="2" t="s">
        <v>460</v>
      </c>
      <c r="F830" s="2" t="s">
        <v>519</v>
      </c>
      <c r="G830" s="2" t="s">
        <v>548</v>
      </c>
      <c r="H830" s="2" t="s">
        <v>553</v>
      </c>
      <c r="I830" s="4">
        <v>1</v>
      </c>
      <c r="J830" s="5"/>
      <c r="K830" s="5"/>
    </row>
    <row r="831" spans="1:11" x14ac:dyDescent="0.3">
      <c r="A831" s="2" t="s">
        <v>11</v>
      </c>
      <c r="B831" s="3">
        <v>46052</v>
      </c>
      <c r="C831" s="2" t="s">
        <v>756</v>
      </c>
      <c r="D831" s="2" t="s">
        <v>438</v>
      </c>
      <c r="E831" s="2" t="s">
        <v>517</v>
      </c>
      <c r="F831" s="2" t="s">
        <v>519</v>
      </c>
      <c r="G831" s="2" t="s">
        <v>548</v>
      </c>
      <c r="H831" s="2" t="s">
        <v>554</v>
      </c>
      <c r="I831" s="4">
        <v>1</v>
      </c>
      <c r="J831" s="5">
        <v>347672.25</v>
      </c>
      <c r="K831" s="5">
        <f>ROUND(IF(ISNUMBER(J831), I831*J831, I831),5)</f>
        <v>347672.25</v>
      </c>
    </row>
    <row r="832" spans="1:11" x14ac:dyDescent="0.3">
      <c r="A832" s="2" t="s">
        <v>11</v>
      </c>
      <c r="B832" s="3">
        <v>46052</v>
      </c>
      <c r="C832" s="2" t="s">
        <v>756</v>
      </c>
      <c r="D832" s="2" t="s">
        <v>438</v>
      </c>
      <c r="E832" s="2" t="s">
        <v>447</v>
      </c>
      <c r="F832" s="2" t="s">
        <v>540</v>
      </c>
      <c r="G832" s="2" t="s">
        <v>548</v>
      </c>
      <c r="H832" s="2" t="s">
        <v>554</v>
      </c>
      <c r="I832" s="4">
        <v>4</v>
      </c>
      <c r="J832" s="5">
        <v>41816.25</v>
      </c>
      <c r="K832" s="5">
        <f>ROUND(IF(ISNUMBER(J832), I832*J832, I832),5)</f>
        <v>167265</v>
      </c>
    </row>
    <row r="833" spans="1:11" x14ac:dyDescent="0.3">
      <c r="A833" s="2" t="s">
        <v>11</v>
      </c>
      <c r="B833" s="3">
        <v>46052</v>
      </c>
      <c r="C833" s="2" t="s">
        <v>756</v>
      </c>
      <c r="D833" s="2" t="s">
        <v>438</v>
      </c>
      <c r="E833" s="2" t="s">
        <v>909</v>
      </c>
      <c r="F833" s="2" t="s">
        <v>540</v>
      </c>
      <c r="G833" s="2" t="s">
        <v>548</v>
      </c>
      <c r="H833" s="2" t="s">
        <v>554</v>
      </c>
      <c r="I833" s="4">
        <v>2</v>
      </c>
      <c r="J833" s="5"/>
      <c r="K833" s="5"/>
    </row>
    <row r="834" spans="1:11" x14ac:dyDescent="0.3">
      <c r="A834" s="2" t="s">
        <v>11</v>
      </c>
      <c r="B834" s="3">
        <v>46052</v>
      </c>
      <c r="C834" s="2" t="s">
        <v>757</v>
      </c>
      <c r="D834" s="2" t="s">
        <v>894</v>
      </c>
      <c r="E834" s="2" t="s">
        <v>496</v>
      </c>
      <c r="F834" s="2" t="s">
        <v>545</v>
      </c>
      <c r="G834" s="2" t="s">
        <v>551</v>
      </c>
      <c r="H834" s="2" t="s">
        <v>554</v>
      </c>
      <c r="I834" s="4">
        <v>1</v>
      </c>
      <c r="J834" s="5">
        <v>35000</v>
      </c>
      <c r="K834" s="5">
        <f>ROUND(IF(ISNUMBER(J834), I834*J834, I834),5)</f>
        <v>35000</v>
      </c>
    </row>
    <row r="835" spans="1:11" x14ac:dyDescent="0.3">
      <c r="A835" s="2" t="s">
        <v>11</v>
      </c>
      <c r="B835" s="3">
        <v>46053</v>
      </c>
      <c r="C835" s="2" t="s">
        <v>758</v>
      </c>
      <c r="D835" s="2" t="s">
        <v>895</v>
      </c>
      <c r="E835" s="2" t="s">
        <v>496</v>
      </c>
      <c r="F835" s="2" t="s">
        <v>545</v>
      </c>
      <c r="G835" s="2" t="s">
        <v>549</v>
      </c>
      <c r="H835" s="2" t="s">
        <v>554</v>
      </c>
      <c r="I835" s="4">
        <v>1</v>
      </c>
      <c r="J835" s="5">
        <v>8850</v>
      </c>
      <c r="K835" s="5">
        <f>ROUND(IF(ISNUMBER(J835), I835*J835, I835),5)</f>
        <v>8850</v>
      </c>
    </row>
    <row r="836" spans="1:11" x14ac:dyDescent="0.3">
      <c r="A836" s="2" t="s">
        <v>11</v>
      </c>
      <c r="B836" s="3">
        <v>46053</v>
      </c>
      <c r="C836" s="2" t="s">
        <v>759</v>
      </c>
      <c r="D836" s="2" t="s">
        <v>325</v>
      </c>
      <c r="E836" s="2" t="s">
        <v>530</v>
      </c>
      <c r="F836" s="2" t="s">
        <v>543</v>
      </c>
      <c r="G836" s="2" t="s">
        <v>548</v>
      </c>
      <c r="H836" s="2" t="s">
        <v>553</v>
      </c>
      <c r="I836" s="4">
        <v>1</v>
      </c>
      <c r="J836" s="5">
        <v>33000</v>
      </c>
      <c r="K836" s="5">
        <f>ROUND(IF(ISNUMBER(J836), I836*J836, I836),5)</f>
        <v>33000</v>
      </c>
    </row>
    <row r="837" spans="1:11" x14ac:dyDescent="0.3">
      <c r="A837" s="2" t="s">
        <v>11</v>
      </c>
      <c r="B837" s="3">
        <v>46055</v>
      </c>
      <c r="C837" s="2" t="s">
        <v>760</v>
      </c>
      <c r="D837" s="2" t="s">
        <v>869</v>
      </c>
      <c r="E837" s="2" t="s">
        <v>502</v>
      </c>
      <c r="F837" s="2" t="s">
        <v>542</v>
      </c>
      <c r="G837" s="2" t="s">
        <v>550</v>
      </c>
      <c r="H837" s="2" t="s">
        <v>554</v>
      </c>
      <c r="I837" s="4">
        <v>1</v>
      </c>
      <c r="J837" s="5">
        <v>67850</v>
      </c>
      <c r="K837" s="5">
        <f>ROUND(IF(ISNUMBER(J837), I837*J837, I837),5)</f>
        <v>67850</v>
      </c>
    </row>
    <row r="838" spans="1:11" x14ac:dyDescent="0.3">
      <c r="A838" s="2" t="s">
        <v>12</v>
      </c>
      <c r="B838" s="3">
        <v>46056</v>
      </c>
      <c r="C838" s="2" t="s">
        <v>761</v>
      </c>
      <c r="D838" s="2" t="s">
        <v>892</v>
      </c>
      <c r="E838" s="2" t="s">
        <v>475</v>
      </c>
      <c r="F838" s="2" t="s">
        <v>450</v>
      </c>
      <c r="G838" s="2"/>
      <c r="H838" s="2" t="s">
        <v>553</v>
      </c>
      <c r="I838" s="4">
        <v>-1</v>
      </c>
      <c r="J838" s="5">
        <v>64000</v>
      </c>
      <c r="K838" s="5">
        <f>ROUND(IF(ISNUMBER(J838), I838*J838, I838),5)</f>
        <v>-64000</v>
      </c>
    </row>
    <row r="839" spans="1:11" x14ac:dyDescent="0.3">
      <c r="A839" s="2" t="s">
        <v>12</v>
      </c>
      <c r="B839" s="3">
        <v>46056</v>
      </c>
      <c r="C839" s="2" t="s">
        <v>761</v>
      </c>
      <c r="D839" s="2" t="s">
        <v>892</v>
      </c>
      <c r="E839" s="2" t="s">
        <v>916</v>
      </c>
      <c r="F839" s="2" t="s">
        <v>544</v>
      </c>
      <c r="G839" s="2"/>
      <c r="H839" s="2" t="s">
        <v>553</v>
      </c>
      <c r="I839" s="4">
        <v>-1</v>
      </c>
      <c r="J839" s="5">
        <v>15000</v>
      </c>
      <c r="K839" s="5">
        <f>ROUND(IF(ISNUMBER(J839), I839*J839, I839),5)</f>
        <v>-15000</v>
      </c>
    </row>
    <row r="840" spans="1:11" x14ac:dyDescent="0.3">
      <c r="A840" s="2" t="s">
        <v>11</v>
      </c>
      <c r="B840" s="3">
        <v>46056</v>
      </c>
      <c r="C840" s="2" t="s">
        <v>762</v>
      </c>
      <c r="D840" s="2" t="s">
        <v>368</v>
      </c>
      <c r="E840" s="2" t="s">
        <v>925</v>
      </c>
      <c r="F840" s="2" t="s">
        <v>542</v>
      </c>
      <c r="G840" s="2" t="s">
        <v>550</v>
      </c>
      <c r="H840" s="2" t="s">
        <v>554</v>
      </c>
      <c r="I840" s="4">
        <v>1</v>
      </c>
      <c r="J840" s="5">
        <v>6000</v>
      </c>
      <c r="K840" s="5">
        <f>ROUND(IF(ISNUMBER(J840), I840*J840, I840),5)</f>
        <v>6000</v>
      </c>
    </row>
    <row r="841" spans="1:11" x14ac:dyDescent="0.3">
      <c r="A841" s="2" t="s">
        <v>11</v>
      </c>
      <c r="B841" s="3">
        <v>46056</v>
      </c>
      <c r="C841" s="2" t="s">
        <v>763</v>
      </c>
      <c r="D841" s="2" t="s">
        <v>313</v>
      </c>
      <c r="E841" s="2" t="s">
        <v>510</v>
      </c>
      <c r="F841" s="2" t="s">
        <v>542</v>
      </c>
      <c r="G841" s="2" t="s">
        <v>550</v>
      </c>
      <c r="H841" s="2" t="s">
        <v>553</v>
      </c>
      <c r="I841" s="4">
        <v>2</v>
      </c>
      <c r="J841" s="5">
        <v>22000</v>
      </c>
      <c r="K841" s="5">
        <f>ROUND(IF(ISNUMBER(J841), I841*J841, I841),5)</f>
        <v>44000</v>
      </c>
    </row>
    <row r="842" spans="1:11" x14ac:dyDescent="0.3">
      <c r="A842" s="2" t="s">
        <v>12</v>
      </c>
      <c r="B842" s="3">
        <v>46058</v>
      </c>
      <c r="C842" s="2" t="s">
        <v>764</v>
      </c>
      <c r="D842" s="2" t="s">
        <v>875</v>
      </c>
      <c r="E842" s="2" t="s">
        <v>469</v>
      </c>
      <c r="F842" s="2" t="s">
        <v>545</v>
      </c>
      <c r="G842" s="2"/>
      <c r="H842" s="2" t="s">
        <v>554</v>
      </c>
      <c r="I842" s="4">
        <v>-1</v>
      </c>
      <c r="J842" s="5">
        <v>47200</v>
      </c>
      <c r="K842" s="5">
        <f>ROUND(IF(ISNUMBER(J842), I842*J842, I842),5)</f>
        <v>-47200</v>
      </c>
    </row>
    <row r="843" spans="1:11" x14ac:dyDescent="0.3">
      <c r="A843" s="2" t="s">
        <v>11</v>
      </c>
      <c r="B843" s="3">
        <v>46058</v>
      </c>
      <c r="C843" s="2" t="s">
        <v>765</v>
      </c>
      <c r="D843" s="2" t="s">
        <v>891</v>
      </c>
      <c r="E843" s="2" t="s">
        <v>926</v>
      </c>
      <c r="F843" s="2" t="s">
        <v>540</v>
      </c>
      <c r="G843" s="2" t="s">
        <v>549</v>
      </c>
      <c r="H843" s="2" t="s">
        <v>553</v>
      </c>
      <c r="I843" s="4">
        <v>2</v>
      </c>
      <c r="J843" s="5">
        <v>102000</v>
      </c>
      <c r="K843" s="5">
        <f>ROUND(IF(ISNUMBER(J843), I843*J843, I843),5)</f>
        <v>204000</v>
      </c>
    </row>
    <row r="844" spans="1:11" x14ac:dyDescent="0.3">
      <c r="A844" s="2" t="s">
        <v>11</v>
      </c>
      <c r="B844" s="3">
        <v>46059</v>
      </c>
      <c r="C844" s="2" t="s">
        <v>766</v>
      </c>
      <c r="D844" s="2" t="s">
        <v>313</v>
      </c>
      <c r="E844" s="2" t="s">
        <v>480</v>
      </c>
      <c r="F844" s="2" t="s">
        <v>542</v>
      </c>
      <c r="G844" s="2" t="s">
        <v>550</v>
      </c>
      <c r="H844" s="2" t="s">
        <v>553</v>
      </c>
      <c r="I844" s="4">
        <v>3</v>
      </c>
      <c r="J844" s="5">
        <v>7000</v>
      </c>
      <c r="K844" s="5">
        <f>ROUND(IF(ISNUMBER(J844), I844*J844, I844),5)</f>
        <v>21000</v>
      </c>
    </row>
    <row r="845" spans="1:11" x14ac:dyDescent="0.3">
      <c r="A845" s="2" t="s">
        <v>11</v>
      </c>
      <c r="B845" s="3">
        <v>46059</v>
      </c>
      <c r="C845" s="2" t="s">
        <v>766</v>
      </c>
      <c r="D845" s="2" t="s">
        <v>313</v>
      </c>
      <c r="E845" s="2" t="s">
        <v>511</v>
      </c>
      <c r="F845" s="2" t="s">
        <v>542</v>
      </c>
      <c r="G845" s="2" t="s">
        <v>550</v>
      </c>
      <c r="H845" s="2" t="s">
        <v>553</v>
      </c>
      <c r="I845" s="4">
        <v>2</v>
      </c>
      <c r="J845" s="5">
        <v>16950</v>
      </c>
      <c r="K845" s="5">
        <f>ROUND(IF(ISNUMBER(J845), I845*J845, I845),5)</f>
        <v>33900</v>
      </c>
    </row>
    <row r="846" spans="1:11" x14ac:dyDescent="0.3">
      <c r="A846" s="2" t="s">
        <v>11</v>
      </c>
      <c r="B846" s="3">
        <v>46059</v>
      </c>
      <c r="C846" s="2" t="s">
        <v>767</v>
      </c>
      <c r="D846" s="2" t="s">
        <v>437</v>
      </c>
      <c r="E846" s="2" t="s">
        <v>927</v>
      </c>
      <c r="F846" s="2" t="s">
        <v>542</v>
      </c>
      <c r="G846" s="2" t="s">
        <v>550</v>
      </c>
      <c r="H846" s="2" t="s">
        <v>554</v>
      </c>
      <c r="I846" s="4">
        <v>4</v>
      </c>
      <c r="J846" s="5">
        <v>4700</v>
      </c>
      <c r="K846" s="5">
        <f>ROUND(IF(ISNUMBER(J846), I846*J846, I846),5)</f>
        <v>18800</v>
      </c>
    </row>
    <row r="847" spans="1:11" x14ac:dyDescent="0.3">
      <c r="A847" s="2" t="s">
        <v>11</v>
      </c>
      <c r="B847" s="3">
        <v>46062</v>
      </c>
      <c r="C847" s="2" t="s">
        <v>768</v>
      </c>
      <c r="D847" s="2" t="s">
        <v>330</v>
      </c>
      <c r="E847" s="2" t="s">
        <v>528</v>
      </c>
      <c r="F847" s="2" t="s">
        <v>540</v>
      </c>
      <c r="G847" s="2" t="s">
        <v>549</v>
      </c>
      <c r="H847" s="2" t="s">
        <v>553</v>
      </c>
      <c r="I847" s="4">
        <v>1</v>
      </c>
      <c r="J847" s="5">
        <v>67000</v>
      </c>
      <c r="K847" s="5">
        <f>ROUND(IF(ISNUMBER(J847), I847*J847, I847),5)</f>
        <v>67000</v>
      </c>
    </row>
    <row r="848" spans="1:11" x14ac:dyDescent="0.3">
      <c r="A848" s="2" t="s">
        <v>11</v>
      </c>
      <c r="B848" s="3">
        <v>46063</v>
      </c>
      <c r="C848" s="2" t="s">
        <v>769</v>
      </c>
      <c r="D848" s="2" t="s">
        <v>386</v>
      </c>
      <c r="E848" s="2" t="s">
        <v>522</v>
      </c>
      <c r="F848" s="2" t="s">
        <v>519</v>
      </c>
      <c r="G848" s="2" t="s">
        <v>551</v>
      </c>
      <c r="H848" s="2" t="s">
        <v>553</v>
      </c>
      <c r="I848" s="4">
        <v>1</v>
      </c>
      <c r="J848" s="5">
        <v>379000</v>
      </c>
      <c r="K848" s="5">
        <f>ROUND(IF(ISNUMBER(J848), I848*J848, I848),5)</f>
        <v>379000</v>
      </c>
    </row>
    <row r="849" spans="1:11" x14ac:dyDescent="0.3">
      <c r="A849" s="2" t="s">
        <v>11</v>
      </c>
      <c r="B849" s="3">
        <v>46063</v>
      </c>
      <c r="C849" s="2" t="s">
        <v>769</v>
      </c>
      <c r="D849" s="2" t="s">
        <v>386</v>
      </c>
      <c r="E849" s="2" t="s">
        <v>482</v>
      </c>
      <c r="F849" s="2" t="s">
        <v>540</v>
      </c>
      <c r="G849" s="2" t="s">
        <v>551</v>
      </c>
      <c r="H849" s="2" t="s">
        <v>553</v>
      </c>
      <c r="I849" s="4">
        <v>6</v>
      </c>
      <c r="J849" s="5">
        <v>132000</v>
      </c>
      <c r="K849" s="5">
        <f>ROUND(IF(ISNUMBER(J849), I849*J849, I849),5)</f>
        <v>792000</v>
      </c>
    </row>
    <row r="850" spans="1:11" x14ac:dyDescent="0.3">
      <c r="A850" s="2" t="s">
        <v>11</v>
      </c>
      <c r="B850" s="3">
        <v>46063</v>
      </c>
      <c r="C850" s="2" t="s">
        <v>769</v>
      </c>
      <c r="D850" s="2" t="s">
        <v>386</v>
      </c>
      <c r="E850" s="2" t="s">
        <v>441</v>
      </c>
      <c r="F850" s="2" t="s">
        <v>547</v>
      </c>
      <c r="G850" s="2" t="s">
        <v>551</v>
      </c>
      <c r="H850" s="2" t="s">
        <v>553</v>
      </c>
      <c r="I850" s="4"/>
      <c r="J850" s="5">
        <v>-15000</v>
      </c>
      <c r="K850" s="5">
        <v>-15000</v>
      </c>
    </row>
    <row r="851" spans="1:11" x14ac:dyDescent="0.3">
      <c r="A851" s="2" t="s">
        <v>11</v>
      </c>
      <c r="B851" s="3">
        <v>46063</v>
      </c>
      <c r="C851" s="2" t="s">
        <v>770</v>
      </c>
      <c r="D851" s="2" t="s">
        <v>341</v>
      </c>
      <c r="E851" s="2" t="s">
        <v>527</v>
      </c>
      <c r="F851" s="2" t="s">
        <v>542</v>
      </c>
      <c r="G851" s="2" t="s">
        <v>550</v>
      </c>
      <c r="H851" s="2" t="s">
        <v>554</v>
      </c>
      <c r="I851" s="4">
        <v>1</v>
      </c>
      <c r="J851" s="5">
        <v>6000</v>
      </c>
      <c r="K851" s="5">
        <f>ROUND(IF(ISNUMBER(J851), I851*J851, I851),5)</f>
        <v>6000</v>
      </c>
    </row>
    <row r="852" spans="1:11" x14ac:dyDescent="0.3">
      <c r="A852" s="2" t="s">
        <v>11</v>
      </c>
      <c r="B852" s="3">
        <v>46063</v>
      </c>
      <c r="C852" s="2" t="s">
        <v>771</v>
      </c>
      <c r="D852" s="2" t="s">
        <v>890</v>
      </c>
      <c r="E852" s="2" t="s">
        <v>511</v>
      </c>
      <c r="F852" s="2" t="s">
        <v>542</v>
      </c>
      <c r="G852" s="2" t="s">
        <v>550</v>
      </c>
      <c r="H852" s="2" t="s">
        <v>554</v>
      </c>
      <c r="I852" s="4">
        <v>1</v>
      </c>
      <c r="J852" s="5">
        <v>21000</v>
      </c>
      <c r="K852" s="5">
        <f>ROUND(IF(ISNUMBER(J852), I852*J852, I852),5)</f>
        <v>21000</v>
      </c>
    </row>
    <row r="853" spans="1:11" x14ac:dyDescent="0.3">
      <c r="A853" s="2" t="s">
        <v>11</v>
      </c>
      <c r="B853" s="3">
        <v>46064</v>
      </c>
      <c r="C853" s="2" t="s">
        <v>772</v>
      </c>
      <c r="D853" s="2" t="s">
        <v>372</v>
      </c>
      <c r="E853" s="2" t="s">
        <v>481</v>
      </c>
      <c r="F853" s="2" t="s">
        <v>519</v>
      </c>
      <c r="G853" s="2" t="s">
        <v>548</v>
      </c>
      <c r="H853" s="2" t="s">
        <v>553</v>
      </c>
      <c r="I853" s="4">
        <v>1</v>
      </c>
      <c r="J853" s="5">
        <v>468787.5</v>
      </c>
      <c r="K853" s="5">
        <f>ROUND(IF(ISNUMBER(J853), I853*J853, I853),5)</f>
        <v>468787.5</v>
      </c>
    </row>
    <row r="854" spans="1:11" x14ac:dyDescent="0.3">
      <c r="A854" s="2" t="s">
        <v>11</v>
      </c>
      <c r="B854" s="3">
        <v>46064</v>
      </c>
      <c r="C854" s="2" t="s">
        <v>772</v>
      </c>
      <c r="D854" s="2" t="s">
        <v>372</v>
      </c>
      <c r="E854" s="2" t="s">
        <v>442</v>
      </c>
      <c r="F854" s="2" t="s">
        <v>540</v>
      </c>
      <c r="G854" s="2" t="s">
        <v>548</v>
      </c>
      <c r="H854" s="2" t="s">
        <v>553</v>
      </c>
      <c r="I854" s="4">
        <v>3</v>
      </c>
      <c r="J854" s="5">
        <v>54675</v>
      </c>
      <c r="K854" s="5">
        <f>ROUND(IF(ISNUMBER(J854), I854*J854, I854),5)</f>
        <v>164025</v>
      </c>
    </row>
    <row r="855" spans="1:11" x14ac:dyDescent="0.3">
      <c r="A855" s="2" t="s">
        <v>11</v>
      </c>
      <c r="B855" s="3">
        <v>46064</v>
      </c>
      <c r="C855" s="2" t="s">
        <v>772</v>
      </c>
      <c r="D855" s="2" t="s">
        <v>372</v>
      </c>
      <c r="E855" s="2" t="s">
        <v>483</v>
      </c>
      <c r="F855" s="2" t="s">
        <v>519</v>
      </c>
      <c r="G855" s="2" t="s">
        <v>548</v>
      </c>
      <c r="H855" s="2" t="s">
        <v>553</v>
      </c>
      <c r="I855" s="4">
        <v>1</v>
      </c>
      <c r="J855" s="5"/>
      <c r="K855" s="5"/>
    </row>
    <row r="856" spans="1:11" x14ac:dyDescent="0.3">
      <c r="A856" s="2" t="s">
        <v>11</v>
      </c>
      <c r="B856" s="3">
        <v>46064</v>
      </c>
      <c r="C856" s="2" t="s">
        <v>772</v>
      </c>
      <c r="D856" s="2" t="s">
        <v>372</v>
      </c>
      <c r="E856" s="2" t="s">
        <v>928</v>
      </c>
      <c r="F856" s="2" t="s">
        <v>546</v>
      </c>
      <c r="G856" s="2" t="s">
        <v>548</v>
      </c>
      <c r="H856" s="2" t="s">
        <v>553</v>
      </c>
      <c r="I856" s="4">
        <v>2</v>
      </c>
      <c r="J856" s="5"/>
      <c r="K856" s="5"/>
    </row>
    <row r="857" spans="1:11" x14ac:dyDescent="0.3">
      <c r="A857" s="2" t="s">
        <v>11</v>
      </c>
      <c r="B857" s="3">
        <v>46064</v>
      </c>
      <c r="C857" s="2" t="s">
        <v>773</v>
      </c>
      <c r="D857" s="2" t="s">
        <v>330</v>
      </c>
      <c r="E857" s="2" t="s">
        <v>528</v>
      </c>
      <c r="F857" s="2" t="s">
        <v>540</v>
      </c>
      <c r="G857" s="2" t="s">
        <v>549</v>
      </c>
      <c r="H857" s="2" t="s">
        <v>553</v>
      </c>
      <c r="I857" s="4">
        <v>2</v>
      </c>
      <c r="J857" s="5">
        <v>67000</v>
      </c>
      <c r="K857" s="5">
        <f>ROUND(IF(ISNUMBER(J857), I857*J857, I857),5)</f>
        <v>134000</v>
      </c>
    </row>
    <row r="858" spans="1:11" x14ac:dyDescent="0.3">
      <c r="A858" s="2" t="s">
        <v>11</v>
      </c>
      <c r="B858" s="3">
        <v>46065</v>
      </c>
      <c r="C858" s="2" t="s">
        <v>774</v>
      </c>
      <c r="D858" s="2" t="s">
        <v>896</v>
      </c>
      <c r="E858" s="2" t="s">
        <v>912</v>
      </c>
      <c r="F858" s="2" t="s">
        <v>540</v>
      </c>
      <c r="G858" s="2" t="s">
        <v>551</v>
      </c>
      <c r="H858" s="2" t="s">
        <v>554</v>
      </c>
      <c r="I858" s="4">
        <v>1</v>
      </c>
      <c r="J858" s="5">
        <v>119000</v>
      </c>
      <c r="K858" s="5">
        <f>ROUND(IF(ISNUMBER(J858), I858*J858, I858),5)</f>
        <v>119000</v>
      </c>
    </row>
    <row r="859" spans="1:11" x14ac:dyDescent="0.3">
      <c r="A859" s="2" t="s">
        <v>11</v>
      </c>
      <c r="B859" s="3">
        <v>46066</v>
      </c>
      <c r="C859" s="2" t="s">
        <v>775</v>
      </c>
      <c r="D859" s="2" t="s">
        <v>313</v>
      </c>
      <c r="E859" s="2" t="s">
        <v>510</v>
      </c>
      <c r="F859" s="2" t="s">
        <v>542</v>
      </c>
      <c r="G859" s="2" t="s">
        <v>550</v>
      </c>
      <c r="H859" s="2" t="s">
        <v>553</v>
      </c>
      <c r="I859" s="4">
        <v>2</v>
      </c>
      <c r="J859" s="5">
        <v>22000</v>
      </c>
      <c r="K859" s="5">
        <f>ROUND(IF(ISNUMBER(J859), I859*J859, I859),5)</f>
        <v>44000</v>
      </c>
    </row>
    <row r="860" spans="1:11" x14ac:dyDescent="0.3">
      <c r="A860" s="2" t="s">
        <v>11</v>
      </c>
      <c r="B860" s="3">
        <v>46066</v>
      </c>
      <c r="C860" s="2" t="s">
        <v>776</v>
      </c>
      <c r="D860" s="2" t="s">
        <v>858</v>
      </c>
      <c r="E860" s="2" t="s">
        <v>487</v>
      </c>
      <c r="F860" s="2" t="s">
        <v>542</v>
      </c>
      <c r="G860" s="2" t="s">
        <v>550</v>
      </c>
      <c r="H860" s="2" t="s">
        <v>554</v>
      </c>
      <c r="I860" s="4">
        <v>2</v>
      </c>
      <c r="J860" s="5">
        <v>23600</v>
      </c>
      <c r="K860" s="5">
        <f>ROUND(IF(ISNUMBER(J860), I860*J860, I860),5)</f>
        <v>47200</v>
      </c>
    </row>
    <row r="861" spans="1:11" x14ac:dyDescent="0.3">
      <c r="A861" s="2" t="s">
        <v>11</v>
      </c>
      <c r="B861" s="3">
        <v>46069</v>
      </c>
      <c r="C861" s="2" t="s">
        <v>777</v>
      </c>
      <c r="D861" s="2" t="s">
        <v>335</v>
      </c>
      <c r="E861" s="2" t="s">
        <v>472</v>
      </c>
      <c r="F861" s="2" t="s">
        <v>544</v>
      </c>
      <c r="G861" s="2" t="s">
        <v>549</v>
      </c>
      <c r="H861" s="2" t="s">
        <v>553</v>
      </c>
      <c r="I861" s="4">
        <v>1</v>
      </c>
      <c r="J861" s="5">
        <v>6938.2</v>
      </c>
      <c r="K861" s="5">
        <f>ROUND(IF(ISNUMBER(J861), I861*J861, I861),5)</f>
        <v>6938.2</v>
      </c>
    </row>
    <row r="862" spans="1:11" x14ac:dyDescent="0.3">
      <c r="A862" s="2" t="s">
        <v>11</v>
      </c>
      <c r="B862" s="3">
        <v>46069</v>
      </c>
      <c r="C862" s="2" t="s">
        <v>778</v>
      </c>
      <c r="D862" s="2" t="s">
        <v>335</v>
      </c>
      <c r="E862" s="2" t="s">
        <v>473</v>
      </c>
      <c r="F862" s="2" t="s">
        <v>544</v>
      </c>
      <c r="G862" s="2" t="s">
        <v>549</v>
      </c>
      <c r="H862" s="2" t="s">
        <v>553</v>
      </c>
      <c r="I862" s="4">
        <v>1</v>
      </c>
      <c r="J862" s="5">
        <v>19037.88</v>
      </c>
      <c r="K862" s="5">
        <f>ROUND(IF(ISNUMBER(J862), I862*J862, I862),5)</f>
        <v>19037.88</v>
      </c>
    </row>
    <row r="863" spans="1:11" x14ac:dyDescent="0.3">
      <c r="A863" s="2" t="s">
        <v>11</v>
      </c>
      <c r="B863" s="3">
        <v>46069</v>
      </c>
      <c r="C863" s="2" t="s">
        <v>779</v>
      </c>
      <c r="D863" s="2" t="s">
        <v>336</v>
      </c>
      <c r="E863" s="2" t="s">
        <v>473</v>
      </c>
      <c r="F863" s="2" t="s">
        <v>544</v>
      </c>
      <c r="G863" s="2" t="s">
        <v>549</v>
      </c>
      <c r="H863" s="2" t="s">
        <v>553</v>
      </c>
      <c r="I863" s="4">
        <v>1</v>
      </c>
      <c r="J863" s="5">
        <v>15612.5</v>
      </c>
      <c r="K863" s="5">
        <f>ROUND(IF(ISNUMBER(J863), I863*J863, I863),5)</f>
        <v>15612.5</v>
      </c>
    </row>
    <row r="864" spans="1:11" x14ac:dyDescent="0.3">
      <c r="A864" s="2" t="s">
        <v>11</v>
      </c>
      <c r="B864" s="3">
        <v>46069</v>
      </c>
      <c r="C864" s="2" t="s">
        <v>780</v>
      </c>
      <c r="D864" s="2" t="s">
        <v>334</v>
      </c>
      <c r="E864" s="2" t="s">
        <v>471</v>
      </c>
      <c r="F864" s="2" t="s">
        <v>544</v>
      </c>
      <c r="G864" s="2" t="s">
        <v>549</v>
      </c>
      <c r="H864" s="2" t="s">
        <v>553</v>
      </c>
      <c r="I864" s="4">
        <v>1</v>
      </c>
      <c r="J864" s="5">
        <v>3122.5</v>
      </c>
      <c r="K864" s="5">
        <f>ROUND(IF(ISNUMBER(J864), I864*J864, I864),5)</f>
        <v>3122.5</v>
      </c>
    </row>
    <row r="865" spans="1:11" x14ac:dyDescent="0.3">
      <c r="A865" s="2" t="s">
        <v>11</v>
      </c>
      <c r="B865" s="3">
        <v>46069</v>
      </c>
      <c r="C865" s="2" t="s">
        <v>781</v>
      </c>
      <c r="D865" s="2" t="s">
        <v>402</v>
      </c>
      <c r="E865" s="2" t="s">
        <v>454</v>
      </c>
      <c r="F865" s="2" t="s">
        <v>543</v>
      </c>
      <c r="G865" s="2" t="s">
        <v>552</v>
      </c>
      <c r="H865" s="2" t="s">
        <v>554</v>
      </c>
      <c r="I865" s="4">
        <v>1</v>
      </c>
      <c r="J865" s="5">
        <v>12500</v>
      </c>
      <c r="K865" s="5">
        <f>ROUND(IF(ISNUMBER(J865), I865*J865, I865),5)</f>
        <v>12500</v>
      </c>
    </row>
    <row r="866" spans="1:11" x14ac:dyDescent="0.3">
      <c r="A866" s="2" t="s">
        <v>11</v>
      </c>
      <c r="B866" s="3">
        <v>46069</v>
      </c>
      <c r="C866" s="2" t="s">
        <v>782</v>
      </c>
      <c r="D866" s="2" t="s">
        <v>328</v>
      </c>
      <c r="E866" s="2" t="s">
        <v>454</v>
      </c>
      <c r="F866" s="2" t="s">
        <v>543</v>
      </c>
      <c r="G866" s="2" t="s">
        <v>552</v>
      </c>
      <c r="H866" s="2" t="s">
        <v>554</v>
      </c>
      <c r="I866" s="4">
        <v>1</v>
      </c>
      <c r="J866" s="5">
        <v>2000</v>
      </c>
      <c r="K866" s="5">
        <f>ROUND(IF(ISNUMBER(J866), I866*J866, I866),5)</f>
        <v>2000</v>
      </c>
    </row>
    <row r="867" spans="1:11" x14ac:dyDescent="0.3">
      <c r="A867" s="2" t="s">
        <v>11</v>
      </c>
      <c r="B867" s="3">
        <v>46069</v>
      </c>
      <c r="C867" s="2" t="s">
        <v>783</v>
      </c>
      <c r="D867" s="2" t="s">
        <v>328</v>
      </c>
      <c r="E867" s="2" t="s">
        <v>454</v>
      </c>
      <c r="F867" s="2" t="s">
        <v>543</v>
      </c>
      <c r="G867" s="2" t="s">
        <v>552</v>
      </c>
      <c r="H867" s="2" t="s">
        <v>554</v>
      </c>
      <c r="I867" s="4">
        <v>1</v>
      </c>
      <c r="J867" s="5">
        <v>2000</v>
      </c>
      <c r="K867" s="5">
        <f>ROUND(IF(ISNUMBER(J867), I867*J867, I867),5)</f>
        <v>2000</v>
      </c>
    </row>
    <row r="868" spans="1:11" x14ac:dyDescent="0.3">
      <c r="A868" s="2" t="s">
        <v>11</v>
      </c>
      <c r="B868" s="3">
        <v>46069</v>
      </c>
      <c r="C868" s="2" t="s">
        <v>784</v>
      </c>
      <c r="D868" s="2" t="s">
        <v>892</v>
      </c>
      <c r="E868" s="2" t="s">
        <v>496</v>
      </c>
      <c r="F868" s="2" t="s">
        <v>545</v>
      </c>
      <c r="G868" s="2" t="s">
        <v>551</v>
      </c>
      <c r="H868" s="2" t="s">
        <v>553</v>
      </c>
      <c r="I868" s="4">
        <v>1</v>
      </c>
      <c r="J868" s="5">
        <v>20000</v>
      </c>
      <c r="K868" s="5">
        <f>ROUND(IF(ISNUMBER(J868), I868*J868, I868),5)</f>
        <v>20000</v>
      </c>
    </row>
    <row r="869" spans="1:11" x14ac:dyDescent="0.3">
      <c r="A869" s="2" t="s">
        <v>11</v>
      </c>
      <c r="B869" s="3">
        <v>46069</v>
      </c>
      <c r="C869" s="2" t="s">
        <v>785</v>
      </c>
      <c r="D869" s="2" t="s">
        <v>396</v>
      </c>
      <c r="E869" s="2" t="s">
        <v>511</v>
      </c>
      <c r="F869" s="2" t="s">
        <v>542</v>
      </c>
      <c r="G869" s="2" t="s">
        <v>550</v>
      </c>
      <c r="H869" s="2" t="s">
        <v>554</v>
      </c>
      <c r="I869" s="4">
        <v>3</v>
      </c>
      <c r="J869" s="5">
        <v>20000</v>
      </c>
      <c r="K869" s="5">
        <f>ROUND(IF(ISNUMBER(J869), I869*J869, I869),5)</f>
        <v>60000</v>
      </c>
    </row>
    <row r="870" spans="1:11" x14ac:dyDescent="0.3">
      <c r="A870" s="2" t="s">
        <v>11</v>
      </c>
      <c r="B870" s="3">
        <v>46069</v>
      </c>
      <c r="C870" s="2" t="s">
        <v>786</v>
      </c>
      <c r="D870" s="2" t="s">
        <v>396</v>
      </c>
      <c r="E870" s="2" t="s">
        <v>511</v>
      </c>
      <c r="F870" s="2" t="s">
        <v>542</v>
      </c>
      <c r="G870" s="2" t="s">
        <v>550</v>
      </c>
      <c r="H870" s="2" t="s">
        <v>554</v>
      </c>
      <c r="I870" s="4">
        <v>3</v>
      </c>
      <c r="J870" s="5">
        <v>20000</v>
      </c>
      <c r="K870" s="5">
        <f>ROUND(IF(ISNUMBER(J870), I870*J870, I870),5)</f>
        <v>60000</v>
      </c>
    </row>
    <row r="871" spans="1:11" x14ac:dyDescent="0.3">
      <c r="A871" s="2" t="s">
        <v>11</v>
      </c>
      <c r="B871" s="3">
        <v>46070</v>
      </c>
      <c r="C871" s="2" t="s">
        <v>787</v>
      </c>
      <c r="D871" s="2" t="s">
        <v>873</v>
      </c>
      <c r="E871" s="2" t="s">
        <v>517</v>
      </c>
      <c r="F871" s="2" t="s">
        <v>519</v>
      </c>
      <c r="G871" s="2" t="s">
        <v>551</v>
      </c>
      <c r="H871" s="2" t="s">
        <v>553</v>
      </c>
      <c r="I871" s="4">
        <v>1</v>
      </c>
      <c r="J871" s="5">
        <v>196000</v>
      </c>
      <c r="K871" s="5">
        <f>ROUND(IF(ISNUMBER(J871), I871*J871, I871),5)</f>
        <v>196000</v>
      </c>
    </row>
    <row r="872" spans="1:11" x14ac:dyDescent="0.3">
      <c r="A872" s="2" t="s">
        <v>11</v>
      </c>
      <c r="B872" s="3">
        <v>46070</v>
      </c>
      <c r="C872" s="2" t="s">
        <v>787</v>
      </c>
      <c r="D872" s="2" t="s">
        <v>873</v>
      </c>
      <c r="E872" s="2" t="s">
        <v>484</v>
      </c>
      <c r="F872" s="2" t="s">
        <v>540</v>
      </c>
      <c r="G872" s="2" t="s">
        <v>551</v>
      </c>
      <c r="H872" s="2" t="s">
        <v>553</v>
      </c>
      <c r="I872" s="4">
        <v>2</v>
      </c>
      <c r="J872" s="5">
        <v>236000</v>
      </c>
      <c r="K872" s="5">
        <f>ROUND(IF(ISNUMBER(J872), I872*J872, I872),5)</f>
        <v>472000</v>
      </c>
    </row>
    <row r="873" spans="1:11" x14ac:dyDescent="0.3">
      <c r="A873" s="2" t="s">
        <v>11</v>
      </c>
      <c r="B873" s="3">
        <v>46070</v>
      </c>
      <c r="C873" s="2" t="s">
        <v>787</v>
      </c>
      <c r="D873" s="2" t="s">
        <v>873</v>
      </c>
      <c r="E873" s="2" t="s">
        <v>441</v>
      </c>
      <c r="F873" s="2" t="s">
        <v>547</v>
      </c>
      <c r="G873" s="2" t="s">
        <v>551</v>
      </c>
      <c r="H873" s="2" t="s">
        <v>553</v>
      </c>
      <c r="I873" s="4"/>
      <c r="J873" s="5">
        <v>-5000</v>
      </c>
      <c r="K873" s="5">
        <v>-5000</v>
      </c>
    </row>
    <row r="874" spans="1:11" x14ac:dyDescent="0.3">
      <c r="A874" s="2" t="s">
        <v>11</v>
      </c>
      <c r="B874" s="3">
        <v>46071</v>
      </c>
      <c r="C874" s="2" t="s">
        <v>788</v>
      </c>
      <c r="D874" s="2" t="s">
        <v>897</v>
      </c>
      <c r="E874" s="2" t="s">
        <v>491</v>
      </c>
      <c r="F874" s="2" t="s">
        <v>542</v>
      </c>
      <c r="G874" s="2" t="s">
        <v>551</v>
      </c>
      <c r="H874" s="2" t="s">
        <v>553</v>
      </c>
      <c r="I874" s="4">
        <v>1</v>
      </c>
      <c r="J874" s="5">
        <v>40000</v>
      </c>
      <c r="K874" s="5">
        <f>ROUND(IF(ISNUMBER(J874), I874*J874, I874),5)</f>
        <v>40000</v>
      </c>
    </row>
    <row r="875" spans="1:11" x14ac:dyDescent="0.3">
      <c r="A875" s="2" t="s">
        <v>11</v>
      </c>
      <c r="B875" s="3">
        <v>46071</v>
      </c>
      <c r="C875" s="2" t="s">
        <v>788</v>
      </c>
      <c r="D875" s="2" t="s">
        <v>897</v>
      </c>
      <c r="E875" s="2" t="s">
        <v>456</v>
      </c>
      <c r="F875" s="2" t="s">
        <v>542</v>
      </c>
      <c r="G875" s="2" t="s">
        <v>551</v>
      </c>
      <c r="H875" s="2" t="s">
        <v>553</v>
      </c>
      <c r="I875" s="4">
        <v>1</v>
      </c>
      <c r="J875" s="5">
        <v>14000</v>
      </c>
      <c r="K875" s="5">
        <f>ROUND(IF(ISNUMBER(J875), I875*J875, I875),5)</f>
        <v>14000</v>
      </c>
    </row>
    <row r="876" spans="1:11" x14ac:dyDescent="0.3">
      <c r="A876" s="2" t="s">
        <v>11</v>
      </c>
      <c r="B876" s="3">
        <v>46071</v>
      </c>
      <c r="C876" s="2" t="s">
        <v>789</v>
      </c>
      <c r="D876" s="2" t="s">
        <v>314</v>
      </c>
      <c r="E876" s="2" t="s">
        <v>517</v>
      </c>
      <c r="F876" s="2" t="s">
        <v>519</v>
      </c>
      <c r="G876" s="2" t="s">
        <v>551</v>
      </c>
      <c r="H876" s="2" t="s">
        <v>553</v>
      </c>
      <c r="I876" s="4">
        <v>1</v>
      </c>
      <c r="J876" s="5">
        <v>173000</v>
      </c>
      <c r="K876" s="5">
        <f>ROUND(IF(ISNUMBER(J876), I876*J876, I876),5)</f>
        <v>173000</v>
      </c>
    </row>
    <row r="877" spans="1:11" x14ac:dyDescent="0.3">
      <c r="A877" s="2" t="s">
        <v>11</v>
      </c>
      <c r="B877" s="3">
        <v>46071</v>
      </c>
      <c r="C877" s="2" t="s">
        <v>789</v>
      </c>
      <c r="D877" s="2" t="s">
        <v>314</v>
      </c>
      <c r="E877" s="2" t="s">
        <v>442</v>
      </c>
      <c r="F877" s="2" t="s">
        <v>540</v>
      </c>
      <c r="G877" s="2" t="s">
        <v>551</v>
      </c>
      <c r="H877" s="2" t="s">
        <v>553</v>
      </c>
      <c r="I877" s="4">
        <v>4</v>
      </c>
      <c r="J877" s="5">
        <v>57000</v>
      </c>
      <c r="K877" s="5">
        <f>ROUND(IF(ISNUMBER(J877), I877*J877, I877),5)</f>
        <v>228000</v>
      </c>
    </row>
    <row r="878" spans="1:11" x14ac:dyDescent="0.3">
      <c r="A878" s="2" t="s">
        <v>11</v>
      </c>
      <c r="B878" s="3">
        <v>46071</v>
      </c>
      <c r="C878" s="2" t="s">
        <v>789</v>
      </c>
      <c r="D878" s="2" t="s">
        <v>314</v>
      </c>
      <c r="E878" s="2" t="s">
        <v>441</v>
      </c>
      <c r="F878" s="2" t="s">
        <v>547</v>
      </c>
      <c r="G878" s="2" t="s">
        <v>551</v>
      </c>
      <c r="H878" s="2" t="s">
        <v>553</v>
      </c>
      <c r="I878" s="4"/>
      <c r="J878" s="5">
        <v>-18000</v>
      </c>
      <c r="K878" s="5">
        <v>-18000</v>
      </c>
    </row>
    <row r="879" spans="1:11" x14ac:dyDescent="0.3">
      <c r="A879" s="2" t="s">
        <v>11</v>
      </c>
      <c r="B879" s="3">
        <v>46071</v>
      </c>
      <c r="C879" s="2" t="s">
        <v>790</v>
      </c>
      <c r="D879" s="2" t="s">
        <v>897</v>
      </c>
      <c r="E879" s="2" t="s">
        <v>496</v>
      </c>
      <c r="F879" s="2" t="s">
        <v>545</v>
      </c>
      <c r="G879" s="2" t="s">
        <v>551</v>
      </c>
      <c r="H879" s="2" t="s">
        <v>553</v>
      </c>
      <c r="I879" s="4">
        <v>1</v>
      </c>
      <c r="J879" s="5">
        <v>8000</v>
      </c>
      <c r="K879" s="5">
        <f>ROUND(IF(ISNUMBER(J879), I879*J879, I879),5)</f>
        <v>8000</v>
      </c>
    </row>
    <row r="880" spans="1:11" x14ac:dyDescent="0.3">
      <c r="A880" s="2" t="s">
        <v>11</v>
      </c>
      <c r="B880" s="3">
        <v>46072</v>
      </c>
      <c r="C880" s="2" t="s">
        <v>791</v>
      </c>
      <c r="D880" s="2" t="s">
        <v>858</v>
      </c>
      <c r="E880" s="2" t="s">
        <v>480</v>
      </c>
      <c r="F880" s="2" t="s">
        <v>542</v>
      </c>
      <c r="G880" s="2" t="s">
        <v>550</v>
      </c>
      <c r="H880" s="2" t="s">
        <v>554</v>
      </c>
      <c r="I880" s="4">
        <v>3</v>
      </c>
      <c r="J880" s="5">
        <v>8200</v>
      </c>
      <c r="K880" s="5">
        <f>ROUND(IF(ISNUMBER(J880), I880*J880, I880),5)</f>
        <v>24600</v>
      </c>
    </row>
    <row r="881" spans="1:11" x14ac:dyDescent="0.3">
      <c r="A881" s="2" t="s">
        <v>11</v>
      </c>
      <c r="B881" s="3">
        <v>46073</v>
      </c>
      <c r="C881" s="2" t="s">
        <v>792</v>
      </c>
      <c r="D881" s="2" t="s">
        <v>869</v>
      </c>
      <c r="E881" s="2" t="s">
        <v>510</v>
      </c>
      <c r="F881" s="2" t="s">
        <v>542</v>
      </c>
      <c r="G881" s="2" t="s">
        <v>550</v>
      </c>
      <c r="H881" s="2" t="s">
        <v>554</v>
      </c>
      <c r="I881" s="4">
        <v>1</v>
      </c>
      <c r="J881" s="5">
        <v>26500</v>
      </c>
      <c r="K881" s="5">
        <f>ROUND(IF(ISNUMBER(J881), I881*J881, I881),5)</f>
        <v>26500</v>
      </c>
    </row>
    <row r="882" spans="1:11" x14ac:dyDescent="0.3">
      <c r="A882" s="2" t="s">
        <v>11</v>
      </c>
      <c r="B882" s="3">
        <v>46073</v>
      </c>
      <c r="C882" s="2" t="s">
        <v>793</v>
      </c>
      <c r="D882" s="2" t="s">
        <v>372</v>
      </c>
      <c r="E882" s="2" t="s">
        <v>451</v>
      </c>
      <c r="F882" s="2" t="s">
        <v>540</v>
      </c>
      <c r="G882" s="2" t="s">
        <v>548</v>
      </c>
      <c r="H882" s="2" t="s">
        <v>553</v>
      </c>
      <c r="I882" s="4">
        <v>5</v>
      </c>
      <c r="J882" s="5">
        <v>150200</v>
      </c>
      <c r="K882" s="5">
        <f>ROUND(IF(ISNUMBER(J882), I882*J882, I882),5)</f>
        <v>751000</v>
      </c>
    </row>
    <row r="883" spans="1:11" x14ac:dyDescent="0.3">
      <c r="A883" s="2" t="s">
        <v>11</v>
      </c>
      <c r="B883" s="3">
        <v>46074</v>
      </c>
      <c r="C883" s="2" t="s">
        <v>794</v>
      </c>
      <c r="D883" s="2" t="s">
        <v>343</v>
      </c>
      <c r="E883" s="2" t="s">
        <v>486</v>
      </c>
      <c r="F883" s="2" t="s">
        <v>542</v>
      </c>
      <c r="G883" s="2" t="s">
        <v>551</v>
      </c>
      <c r="H883" s="2" t="s">
        <v>553</v>
      </c>
      <c r="I883" s="4">
        <v>1</v>
      </c>
      <c r="J883" s="5">
        <v>62000</v>
      </c>
      <c r="K883" s="5">
        <f>ROUND(IF(ISNUMBER(J883), I883*J883, I883),5)</f>
        <v>62000</v>
      </c>
    </row>
    <row r="884" spans="1:11" x14ac:dyDescent="0.3">
      <c r="A884" s="2" t="s">
        <v>11</v>
      </c>
      <c r="B884" s="3">
        <v>46074</v>
      </c>
      <c r="C884" s="2" t="s">
        <v>794</v>
      </c>
      <c r="D884" s="2" t="s">
        <v>343</v>
      </c>
      <c r="E884" s="2" t="s">
        <v>489</v>
      </c>
      <c r="F884" s="2" t="s">
        <v>542</v>
      </c>
      <c r="G884" s="2" t="s">
        <v>551</v>
      </c>
      <c r="H884" s="2" t="s">
        <v>553</v>
      </c>
      <c r="I884" s="4">
        <v>1</v>
      </c>
      <c r="J884" s="5">
        <v>24980</v>
      </c>
      <c r="K884" s="5">
        <f>ROUND(IF(ISNUMBER(J884), I884*J884, I884),5)</f>
        <v>24980</v>
      </c>
    </row>
    <row r="885" spans="1:11" x14ac:dyDescent="0.3">
      <c r="A885" s="2" t="s">
        <v>11</v>
      </c>
      <c r="B885" s="3">
        <v>46076</v>
      </c>
      <c r="C885" s="2" t="s">
        <v>795</v>
      </c>
      <c r="D885" s="2" t="s">
        <v>320</v>
      </c>
      <c r="E885" s="2" t="s">
        <v>442</v>
      </c>
      <c r="F885" s="2" t="s">
        <v>540</v>
      </c>
      <c r="G885" s="2" t="s">
        <v>550</v>
      </c>
      <c r="H885" s="2" t="s">
        <v>553</v>
      </c>
      <c r="I885" s="4">
        <v>2</v>
      </c>
      <c r="J885" s="5">
        <v>57300</v>
      </c>
      <c r="K885" s="5">
        <f>ROUND(IF(ISNUMBER(J885), I885*J885, I885),5)</f>
        <v>114600</v>
      </c>
    </row>
    <row r="886" spans="1:11" x14ac:dyDescent="0.3">
      <c r="A886" s="2" t="s">
        <v>11</v>
      </c>
      <c r="B886" s="3">
        <v>46079</v>
      </c>
      <c r="C886" s="2" t="s">
        <v>796</v>
      </c>
      <c r="D886" s="2" t="s">
        <v>314</v>
      </c>
      <c r="E886" s="2" t="s">
        <v>509</v>
      </c>
      <c r="F886" s="2" t="s">
        <v>519</v>
      </c>
      <c r="G886" s="2" t="s">
        <v>551</v>
      </c>
      <c r="H886" s="2" t="s">
        <v>553</v>
      </c>
      <c r="I886" s="4">
        <v>1</v>
      </c>
      <c r="J886" s="5">
        <v>116000</v>
      </c>
      <c r="K886" s="5">
        <f>ROUND(IF(ISNUMBER(J886), I886*J886, I886),5)</f>
        <v>116000</v>
      </c>
    </row>
    <row r="887" spans="1:11" x14ac:dyDescent="0.3">
      <c r="A887" s="2" t="s">
        <v>11</v>
      </c>
      <c r="B887" s="3">
        <v>46080</v>
      </c>
      <c r="C887" s="2" t="s">
        <v>797</v>
      </c>
      <c r="D887" s="2" t="s">
        <v>312</v>
      </c>
      <c r="E887" s="2" t="s">
        <v>929</v>
      </c>
      <c r="F887" s="2" t="s">
        <v>540</v>
      </c>
      <c r="G887" s="2" t="s">
        <v>548</v>
      </c>
      <c r="H887" s="2" t="s">
        <v>553</v>
      </c>
      <c r="I887" s="4">
        <v>1</v>
      </c>
      <c r="J887" s="5">
        <v>87000</v>
      </c>
      <c r="K887" s="5">
        <f>ROUND(IF(ISNUMBER(J887), I887*J887, I887),5)</f>
        <v>87000</v>
      </c>
    </row>
    <row r="888" spans="1:11" x14ac:dyDescent="0.3">
      <c r="A888" s="2" t="s">
        <v>11</v>
      </c>
      <c r="B888" s="3">
        <v>46080</v>
      </c>
      <c r="C888" s="2" t="s">
        <v>798</v>
      </c>
      <c r="D888" s="2" t="s">
        <v>438</v>
      </c>
      <c r="E888" s="2" t="s">
        <v>514</v>
      </c>
      <c r="F888" s="2" t="s">
        <v>519</v>
      </c>
      <c r="G888" s="2" t="s">
        <v>548</v>
      </c>
      <c r="H888" s="2" t="s">
        <v>554</v>
      </c>
      <c r="I888" s="4">
        <v>1</v>
      </c>
      <c r="J888" s="5">
        <v>881725.5</v>
      </c>
      <c r="K888" s="5">
        <f>ROUND(IF(ISNUMBER(J888), I888*J888, I888),5)</f>
        <v>881725.5</v>
      </c>
    </row>
    <row r="889" spans="1:11" x14ac:dyDescent="0.3">
      <c r="A889" s="2" t="s">
        <v>11</v>
      </c>
      <c r="B889" s="3">
        <v>46080</v>
      </c>
      <c r="C889" s="2" t="s">
        <v>798</v>
      </c>
      <c r="D889" s="2" t="s">
        <v>438</v>
      </c>
      <c r="E889" s="2" t="s">
        <v>536</v>
      </c>
      <c r="F889" s="2" t="s">
        <v>540</v>
      </c>
      <c r="G889" s="2" t="s">
        <v>548</v>
      </c>
      <c r="H889" s="2" t="s">
        <v>554</v>
      </c>
      <c r="I889" s="4">
        <v>4</v>
      </c>
      <c r="J889" s="5">
        <v>339010.32</v>
      </c>
      <c r="K889" s="5">
        <f>ROUND(IF(ISNUMBER(J889), I889*J889, I889),5)</f>
        <v>1356041.28</v>
      </c>
    </row>
    <row r="890" spans="1:11" x14ac:dyDescent="0.3">
      <c r="A890" s="2" t="s">
        <v>11</v>
      </c>
      <c r="B890" s="3">
        <v>46080</v>
      </c>
      <c r="C890" s="2" t="s">
        <v>798</v>
      </c>
      <c r="D890" s="2" t="s">
        <v>438</v>
      </c>
      <c r="E890" s="2" t="s">
        <v>460</v>
      </c>
      <c r="F890" s="2" t="s">
        <v>519</v>
      </c>
      <c r="G890" s="2" t="s">
        <v>548</v>
      </c>
      <c r="H890" s="2" t="s">
        <v>554</v>
      </c>
      <c r="I890" s="4">
        <v>1</v>
      </c>
      <c r="J890" s="5"/>
      <c r="K890" s="5"/>
    </row>
    <row r="891" spans="1:11" x14ac:dyDescent="0.3">
      <c r="A891" s="2" t="s">
        <v>11</v>
      </c>
      <c r="B891" s="3">
        <v>46081</v>
      </c>
      <c r="C891" s="2" t="s">
        <v>799</v>
      </c>
      <c r="D891" s="2" t="s">
        <v>403</v>
      </c>
      <c r="E891" s="2" t="s">
        <v>472</v>
      </c>
      <c r="F891" s="2" t="s">
        <v>544</v>
      </c>
      <c r="G891" s="2" t="s">
        <v>549</v>
      </c>
      <c r="H891" s="2" t="s">
        <v>553</v>
      </c>
      <c r="I891" s="4">
        <v>1</v>
      </c>
      <c r="J891" s="5">
        <v>200000</v>
      </c>
      <c r="K891" s="5">
        <f>ROUND(IF(ISNUMBER(J891), I891*J891, I891),5)</f>
        <v>200000</v>
      </c>
    </row>
    <row r="892" spans="1:11" x14ac:dyDescent="0.3">
      <c r="A892" s="2" t="s">
        <v>12</v>
      </c>
      <c r="B892" s="3">
        <v>46084</v>
      </c>
      <c r="C892" s="2" t="s">
        <v>800</v>
      </c>
      <c r="D892" s="2" t="s">
        <v>396</v>
      </c>
      <c r="E892" s="2" t="s">
        <v>511</v>
      </c>
      <c r="F892" s="2" t="s">
        <v>542</v>
      </c>
      <c r="G892" s="2"/>
      <c r="H892" s="2" t="s">
        <v>554</v>
      </c>
      <c r="I892" s="4">
        <v>-3</v>
      </c>
      <c r="J892" s="5">
        <v>20000</v>
      </c>
      <c r="K892" s="5">
        <f>ROUND(IF(ISNUMBER(J892), I892*J892, I892),5)</f>
        <v>-60000</v>
      </c>
    </row>
    <row r="893" spans="1:11" x14ac:dyDescent="0.3">
      <c r="A893" s="2" t="s">
        <v>12</v>
      </c>
      <c r="B893" s="3">
        <v>46084</v>
      </c>
      <c r="C893" s="2" t="s">
        <v>801</v>
      </c>
      <c r="D893" s="2" t="s">
        <v>396</v>
      </c>
      <c r="E893" s="2" t="s">
        <v>511</v>
      </c>
      <c r="F893" s="2" t="s">
        <v>542</v>
      </c>
      <c r="G893" s="2"/>
      <c r="H893" s="2" t="s">
        <v>554</v>
      </c>
      <c r="I893" s="4">
        <v>-3</v>
      </c>
      <c r="J893" s="5">
        <v>20000</v>
      </c>
      <c r="K893" s="5">
        <f>ROUND(IF(ISNUMBER(J893), I893*J893, I893),5)</f>
        <v>-60000</v>
      </c>
    </row>
    <row r="894" spans="1:11" x14ac:dyDescent="0.3">
      <c r="A894" s="2" t="s">
        <v>11</v>
      </c>
      <c r="B894" s="3">
        <v>46084</v>
      </c>
      <c r="C894" s="2" t="s">
        <v>802</v>
      </c>
      <c r="D894" s="2" t="s">
        <v>313</v>
      </c>
      <c r="E894" s="2" t="s">
        <v>479</v>
      </c>
      <c r="F894" s="2" t="s">
        <v>542</v>
      </c>
      <c r="G894" s="2" t="s">
        <v>550</v>
      </c>
      <c r="H894" s="2" t="s">
        <v>553</v>
      </c>
      <c r="I894" s="4">
        <v>1</v>
      </c>
      <c r="J894" s="5">
        <v>16450</v>
      </c>
      <c r="K894" s="5">
        <f>ROUND(IF(ISNUMBER(J894), I894*J894, I894),5)</f>
        <v>16450</v>
      </c>
    </row>
    <row r="895" spans="1:11" x14ac:dyDescent="0.3">
      <c r="A895" s="2" t="s">
        <v>11</v>
      </c>
      <c r="B895" s="3">
        <v>46084</v>
      </c>
      <c r="C895" s="2" t="s">
        <v>802</v>
      </c>
      <c r="D895" s="2" t="s">
        <v>313</v>
      </c>
      <c r="E895" s="2" t="s">
        <v>489</v>
      </c>
      <c r="F895" s="2" t="s">
        <v>542</v>
      </c>
      <c r="G895" s="2" t="s">
        <v>550</v>
      </c>
      <c r="H895" s="2" t="s">
        <v>553</v>
      </c>
      <c r="I895" s="4">
        <v>1</v>
      </c>
      <c r="J895" s="5">
        <v>24200</v>
      </c>
      <c r="K895" s="5">
        <f>ROUND(IF(ISNUMBER(J895), I895*J895, I895),5)</f>
        <v>24200</v>
      </c>
    </row>
    <row r="896" spans="1:11" x14ac:dyDescent="0.3">
      <c r="A896" s="2" t="s">
        <v>11</v>
      </c>
      <c r="B896" s="3">
        <v>46084</v>
      </c>
      <c r="C896" s="2" t="s">
        <v>803</v>
      </c>
      <c r="D896" s="2" t="s">
        <v>313</v>
      </c>
      <c r="E896" s="2" t="s">
        <v>509</v>
      </c>
      <c r="F896" s="2" t="s">
        <v>519</v>
      </c>
      <c r="G896" s="2" t="s">
        <v>549</v>
      </c>
      <c r="H896" s="2" t="s">
        <v>553</v>
      </c>
      <c r="I896" s="4">
        <v>2</v>
      </c>
      <c r="J896" s="5">
        <v>116000</v>
      </c>
      <c r="K896" s="5">
        <f>ROUND(IF(ISNUMBER(J896), I896*J896, I896),5)</f>
        <v>232000</v>
      </c>
    </row>
    <row r="897" spans="1:11" x14ac:dyDescent="0.3">
      <c r="A897" s="2" t="s">
        <v>11</v>
      </c>
      <c r="B897" s="3">
        <v>46084</v>
      </c>
      <c r="C897" s="2" t="s">
        <v>804</v>
      </c>
      <c r="D897" s="2" t="s">
        <v>376</v>
      </c>
      <c r="E897" s="2" t="s">
        <v>489</v>
      </c>
      <c r="F897" s="2" t="s">
        <v>542</v>
      </c>
      <c r="G897" s="2" t="s">
        <v>550</v>
      </c>
      <c r="H897" s="2" t="s">
        <v>553</v>
      </c>
      <c r="I897" s="4">
        <v>2</v>
      </c>
      <c r="J897" s="5">
        <v>27500</v>
      </c>
      <c r="K897" s="5">
        <f>ROUND(IF(ISNUMBER(J897), I897*J897, I897),5)</f>
        <v>55000</v>
      </c>
    </row>
    <row r="898" spans="1:11" x14ac:dyDescent="0.3">
      <c r="A898" s="2" t="s">
        <v>12</v>
      </c>
      <c r="B898" s="3">
        <v>46086</v>
      </c>
      <c r="C898" s="2" t="s">
        <v>805</v>
      </c>
      <c r="D898" s="2" t="s">
        <v>343</v>
      </c>
      <c r="E898" s="2" t="s">
        <v>486</v>
      </c>
      <c r="F898" s="2" t="s">
        <v>542</v>
      </c>
      <c r="G898" s="2"/>
      <c r="H898" s="2" t="s">
        <v>553</v>
      </c>
      <c r="I898" s="4">
        <v>-1</v>
      </c>
      <c r="J898" s="5">
        <v>62000</v>
      </c>
      <c r="K898" s="5">
        <f>ROUND(IF(ISNUMBER(J898), I898*J898, I898),5)</f>
        <v>-62000</v>
      </c>
    </row>
    <row r="899" spans="1:11" x14ac:dyDescent="0.3">
      <c r="A899" s="2" t="s">
        <v>12</v>
      </c>
      <c r="B899" s="3">
        <v>46086</v>
      </c>
      <c r="C899" s="2" t="s">
        <v>805</v>
      </c>
      <c r="D899" s="2" t="s">
        <v>343</v>
      </c>
      <c r="E899" s="2" t="s">
        <v>489</v>
      </c>
      <c r="F899" s="2" t="s">
        <v>542</v>
      </c>
      <c r="G899" s="2"/>
      <c r="H899" s="2" t="s">
        <v>553</v>
      </c>
      <c r="I899" s="4">
        <v>-1</v>
      </c>
      <c r="J899" s="5">
        <v>24980</v>
      </c>
      <c r="K899" s="5">
        <f>ROUND(IF(ISNUMBER(J899), I899*J899, I899),5)</f>
        <v>-24980</v>
      </c>
    </row>
    <row r="900" spans="1:11" x14ac:dyDescent="0.3">
      <c r="A900" s="2" t="s">
        <v>11</v>
      </c>
      <c r="B900" s="3">
        <v>46086</v>
      </c>
      <c r="C900" s="2" t="s">
        <v>806</v>
      </c>
      <c r="D900" s="2" t="s">
        <v>897</v>
      </c>
      <c r="E900" s="2" t="s">
        <v>527</v>
      </c>
      <c r="F900" s="2" t="s">
        <v>542</v>
      </c>
      <c r="G900" s="2" t="s">
        <v>551</v>
      </c>
      <c r="H900" s="2" t="s">
        <v>553</v>
      </c>
      <c r="I900" s="4">
        <v>1</v>
      </c>
      <c r="J900" s="5">
        <v>5000</v>
      </c>
      <c r="K900" s="5">
        <f>ROUND(IF(ISNUMBER(J900), I900*J900, I900),5)</f>
        <v>5000</v>
      </c>
    </row>
    <row r="901" spans="1:11" x14ac:dyDescent="0.3">
      <c r="A901" s="2" t="s">
        <v>11</v>
      </c>
      <c r="B901" s="3">
        <v>46087</v>
      </c>
      <c r="C901" s="2" t="s">
        <v>807</v>
      </c>
      <c r="D901" s="2" t="s">
        <v>898</v>
      </c>
      <c r="E901" s="2" t="s">
        <v>912</v>
      </c>
      <c r="F901" s="2" t="s">
        <v>540</v>
      </c>
      <c r="G901" s="2" t="s">
        <v>551</v>
      </c>
      <c r="H901" s="2" t="s">
        <v>554</v>
      </c>
      <c r="I901" s="4">
        <v>2</v>
      </c>
      <c r="J901" s="5">
        <v>119180</v>
      </c>
      <c r="K901" s="5">
        <f>ROUND(IF(ISNUMBER(J901), I901*J901, I901),5)</f>
        <v>238360</v>
      </c>
    </row>
    <row r="902" spans="1:11" x14ac:dyDescent="0.3">
      <c r="A902" s="2" t="s">
        <v>11</v>
      </c>
      <c r="B902" s="3">
        <v>46087</v>
      </c>
      <c r="C902" s="2" t="s">
        <v>808</v>
      </c>
      <c r="D902" s="2" t="s">
        <v>899</v>
      </c>
      <c r="E902" s="2" t="s">
        <v>479</v>
      </c>
      <c r="F902" s="2" t="s">
        <v>542</v>
      </c>
      <c r="G902" s="2" t="s">
        <v>551</v>
      </c>
      <c r="H902" s="2" t="s">
        <v>553</v>
      </c>
      <c r="I902" s="4">
        <v>1</v>
      </c>
      <c r="J902" s="5">
        <v>16500</v>
      </c>
      <c r="K902" s="5">
        <f>ROUND(IF(ISNUMBER(J902), I902*J902, I902),5)</f>
        <v>16500</v>
      </c>
    </row>
    <row r="903" spans="1:11" x14ac:dyDescent="0.3">
      <c r="A903" s="2" t="s">
        <v>11</v>
      </c>
      <c r="B903" s="3">
        <v>46088</v>
      </c>
      <c r="C903" s="2" t="s">
        <v>809</v>
      </c>
      <c r="D903" s="2" t="s">
        <v>416</v>
      </c>
      <c r="E903" s="2" t="s">
        <v>487</v>
      </c>
      <c r="F903" s="2" t="s">
        <v>542</v>
      </c>
      <c r="G903" s="2" t="s">
        <v>550</v>
      </c>
      <c r="H903" s="2" t="s">
        <v>554</v>
      </c>
      <c r="I903" s="4">
        <v>1</v>
      </c>
      <c r="J903" s="5">
        <v>23600</v>
      </c>
      <c r="K903" s="5">
        <f>ROUND(IF(ISNUMBER(J903), I903*J903, I903),5)</f>
        <v>23600</v>
      </c>
    </row>
    <row r="904" spans="1:11" x14ac:dyDescent="0.3">
      <c r="A904" s="2" t="s">
        <v>11</v>
      </c>
      <c r="B904" s="3">
        <v>46090</v>
      </c>
      <c r="C904" s="2" t="s">
        <v>810</v>
      </c>
      <c r="D904" s="2" t="s">
        <v>408</v>
      </c>
      <c r="E904" s="2" t="s">
        <v>500</v>
      </c>
      <c r="F904" s="2" t="s">
        <v>519</v>
      </c>
      <c r="G904" s="2" t="s">
        <v>548</v>
      </c>
      <c r="H904" s="2" t="s">
        <v>553</v>
      </c>
      <c r="I904" s="4">
        <v>1</v>
      </c>
      <c r="J904" s="5">
        <v>204000</v>
      </c>
      <c r="K904" s="5">
        <f>ROUND(IF(ISNUMBER(J904), I904*J904, I904),5)</f>
        <v>204000</v>
      </c>
    </row>
    <row r="905" spans="1:11" x14ac:dyDescent="0.3">
      <c r="A905" s="2" t="s">
        <v>11</v>
      </c>
      <c r="B905" s="3">
        <v>46090</v>
      </c>
      <c r="C905" s="2" t="s">
        <v>810</v>
      </c>
      <c r="D905" s="2" t="s">
        <v>408</v>
      </c>
      <c r="E905" s="2" t="s">
        <v>912</v>
      </c>
      <c r="F905" s="2" t="s">
        <v>540</v>
      </c>
      <c r="G905" s="2" t="s">
        <v>548</v>
      </c>
      <c r="H905" s="2" t="s">
        <v>553</v>
      </c>
      <c r="I905" s="4">
        <v>5</v>
      </c>
      <c r="J905" s="5">
        <v>96300</v>
      </c>
      <c r="K905" s="5">
        <f>ROUND(IF(ISNUMBER(J905), I905*J905, I905),5)</f>
        <v>481500</v>
      </c>
    </row>
    <row r="906" spans="1:11" x14ac:dyDescent="0.3">
      <c r="A906" s="2" t="s">
        <v>11</v>
      </c>
      <c r="B906" s="3">
        <v>46090</v>
      </c>
      <c r="C906" s="2" t="s">
        <v>811</v>
      </c>
      <c r="D906" s="2" t="s">
        <v>375</v>
      </c>
      <c r="E906" s="2" t="s">
        <v>533</v>
      </c>
      <c r="F906" s="2" t="s">
        <v>519</v>
      </c>
      <c r="G906" s="2" t="s">
        <v>548</v>
      </c>
      <c r="H906" s="2" t="s">
        <v>553</v>
      </c>
      <c r="I906" s="4">
        <v>1</v>
      </c>
      <c r="J906" s="5">
        <v>1768837.5</v>
      </c>
      <c r="K906" s="5">
        <f>ROUND(IF(ISNUMBER(J906), I906*J906, I906),5)</f>
        <v>1768837.5</v>
      </c>
    </row>
    <row r="907" spans="1:11" x14ac:dyDescent="0.3">
      <c r="A907" s="2" t="s">
        <v>11</v>
      </c>
      <c r="B907" s="3">
        <v>46090</v>
      </c>
      <c r="C907" s="2" t="s">
        <v>811</v>
      </c>
      <c r="D907" s="2" t="s">
        <v>375</v>
      </c>
      <c r="E907" s="2" t="s">
        <v>451</v>
      </c>
      <c r="F907" s="2" t="s">
        <v>540</v>
      </c>
      <c r="G907" s="2" t="s">
        <v>548</v>
      </c>
      <c r="H907" s="2" t="s">
        <v>553</v>
      </c>
      <c r="I907" s="4">
        <v>7</v>
      </c>
      <c r="J907" s="5">
        <v>162405</v>
      </c>
      <c r="K907" s="5">
        <f>ROUND(IF(ISNUMBER(J907), I907*J907, I907),5)</f>
        <v>1136835</v>
      </c>
    </row>
    <row r="908" spans="1:11" x14ac:dyDescent="0.3">
      <c r="A908" s="2" t="s">
        <v>11</v>
      </c>
      <c r="B908" s="3">
        <v>46090</v>
      </c>
      <c r="C908" s="2" t="s">
        <v>811</v>
      </c>
      <c r="D908" s="2" t="s">
        <v>375</v>
      </c>
      <c r="E908" s="2" t="s">
        <v>460</v>
      </c>
      <c r="F908" s="2" t="s">
        <v>519</v>
      </c>
      <c r="G908" s="2" t="s">
        <v>548</v>
      </c>
      <c r="H908" s="2" t="s">
        <v>553</v>
      </c>
      <c r="I908" s="4">
        <v>1</v>
      </c>
      <c r="J908" s="5"/>
      <c r="K908" s="5"/>
    </row>
    <row r="909" spans="1:11" x14ac:dyDescent="0.3">
      <c r="A909" s="2" t="s">
        <v>11</v>
      </c>
      <c r="B909" s="3">
        <v>46090</v>
      </c>
      <c r="C909" s="2" t="s">
        <v>812</v>
      </c>
      <c r="D909" s="2" t="s">
        <v>408</v>
      </c>
      <c r="E909" s="2" t="s">
        <v>488</v>
      </c>
      <c r="F909" s="2" t="s">
        <v>519</v>
      </c>
      <c r="G909" s="2" t="s">
        <v>548</v>
      </c>
      <c r="H909" s="2" t="s">
        <v>553</v>
      </c>
      <c r="I909" s="4">
        <v>1</v>
      </c>
      <c r="J909" s="5">
        <v>93150</v>
      </c>
      <c r="K909" s="5">
        <f>ROUND(IF(ISNUMBER(J909), I909*J909, I909),5)</f>
        <v>93150</v>
      </c>
    </row>
    <row r="910" spans="1:11" x14ac:dyDescent="0.3">
      <c r="A910" s="2" t="s">
        <v>11</v>
      </c>
      <c r="B910" s="3">
        <v>46091</v>
      </c>
      <c r="C910" s="2" t="s">
        <v>813</v>
      </c>
      <c r="D910" s="2" t="s">
        <v>900</v>
      </c>
      <c r="E910" s="2" t="s">
        <v>457</v>
      </c>
      <c r="F910" s="2" t="s">
        <v>542</v>
      </c>
      <c r="G910" s="2" t="s">
        <v>551</v>
      </c>
      <c r="H910" s="2" t="s">
        <v>554</v>
      </c>
      <c r="I910" s="4">
        <v>2</v>
      </c>
      <c r="J910" s="5">
        <v>24190</v>
      </c>
      <c r="K910" s="5">
        <f>ROUND(IF(ISNUMBER(J910), I910*J910, I910),5)</f>
        <v>48380</v>
      </c>
    </row>
    <row r="911" spans="1:11" x14ac:dyDescent="0.3">
      <c r="A911" s="2" t="s">
        <v>11</v>
      </c>
      <c r="B911" s="3">
        <v>46092</v>
      </c>
      <c r="C911" s="2" t="s">
        <v>814</v>
      </c>
      <c r="D911" s="2" t="s">
        <v>901</v>
      </c>
      <c r="E911" s="2" t="s">
        <v>522</v>
      </c>
      <c r="F911" s="2" t="s">
        <v>519</v>
      </c>
      <c r="G911" s="2" t="s">
        <v>551</v>
      </c>
      <c r="H911" s="2" t="s">
        <v>553</v>
      </c>
      <c r="I911" s="4">
        <v>1</v>
      </c>
      <c r="J911" s="5">
        <v>379000</v>
      </c>
      <c r="K911" s="5">
        <f>ROUND(IF(ISNUMBER(J911), I911*J911, I911),5)</f>
        <v>379000</v>
      </c>
    </row>
    <row r="912" spans="1:11" x14ac:dyDescent="0.3">
      <c r="A912" s="2" t="s">
        <v>11</v>
      </c>
      <c r="B912" s="3">
        <v>46092</v>
      </c>
      <c r="C912" s="2" t="s">
        <v>814</v>
      </c>
      <c r="D912" s="2" t="s">
        <v>901</v>
      </c>
      <c r="E912" s="2" t="s">
        <v>521</v>
      </c>
      <c r="F912" s="2" t="s">
        <v>540</v>
      </c>
      <c r="G912" s="2" t="s">
        <v>551</v>
      </c>
      <c r="H912" s="2" t="s">
        <v>553</v>
      </c>
      <c r="I912" s="4">
        <v>3</v>
      </c>
      <c r="J912" s="5">
        <v>36000</v>
      </c>
      <c r="K912" s="5">
        <f>ROUND(IF(ISNUMBER(J912), I912*J912, I912),5)</f>
        <v>108000</v>
      </c>
    </row>
    <row r="913" spans="1:11" x14ac:dyDescent="0.3">
      <c r="A913" s="2" t="s">
        <v>11</v>
      </c>
      <c r="B913" s="3">
        <v>46092</v>
      </c>
      <c r="C913" s="2" t="s">
        <v>815</v>
      </c>
      <c r="D913" s="2" t="s">
        <v>902</v>
      </c>
      <c r="E913" s="2" t="s">
        <v>517</v>
      </c>
      <c r="F913" s="2" t="s">
        <v>519</v>
      </c>
      <c r="G913" s="2" t="s">
        <v>551</v>
      </c>
      <c r="H913" s="2" t="s">
        <v>554</v>
      </c>
      <c r="I913" s="4">
        <v>1</v>
      </c>
      <c r="J913" s="5">
        <v>197060</v>
      </c>
      <c r="K913" s="5">
        <f>ROUND(IF(ISNUMBER(J913), I913*J913, I913),5)</f>
        <v>197060</v>
      </c>
    </row>
    <row r="914" spans="1:11" x14ac:dyDescent="0.3">
      <c r="A914" s="2" t="s">
        <v>11</v>
      </c>
      <c r="B914" s="3">
        <v>46092</v>
      </c>
      <c r="C914" s="2" t="s">
        <v>815</v>
      </c>
      <c r="D914" s="2" t="s">
        <v>902</v>
      </c>
      <c r="E914" s="2" t="s">
        <v>521</v>
      </c>
      <c r="F914" s="2" t="s">
        <v>540</v>
      </c>
      <c r="G914" s="2" t="s">
        <v>551</v>
      </c>
      <c r="H914" s="2" t="s">
        <v>554</v>
      </c>
      <c r="I914" s="4">
        <v>2</v>
      </c>
      <c r="J914" s="5">
        <v>42480</v>
      </c>
      <c r="K914" s="5">
        <f>ROUND(IF(ISNUMBER(J914), I914*J914, I914),5)</f>
        <v>84960</v>
      </c>
    </row>
    <row r="915" spans="1:11" x14ac:dyDescent="0.3">
      <c r="A915" s="2" t="s">
        <v>11</v>
      </c>
      <c r="B915" s="3">
        <v>46092</v>
      </c>
      <c r="C915" s="2" t="s">
        <v>815</v>
      </c>
      <c r="D915" s="2" t="s">
        <v>902</v>
      </c>
      <c r="E915" s="2" t="s">
        <v>475</v>
      </c>
      <c r="F915" s="2" t="s">
        <v>450</v>
      </c>
      <c r="G915" s="2" t="s">
        <v>551</v>
      </c>
      <c r="H915" s="2" t="s">
        <v>554</v>
      </c>
      <c r="I915" s="4">
        <v>1</v>
      </c>
      <c r="J915" s="5">
        <v>75520</v>
      </c>
      <c r="K915" s="5">
        <f>ROUND(IF(ISNUMBER(J915), I915*J915, I915),5)</f>
        <v>75520</v>
      </c>
    </row>
    <row r="916" spans="1:11" x14ac:dyDescent="0.3">
      <c r="A916" s="2" t="s">
        <v>11</v>
      </c>
      <c r="B916" s="3">
        <v>46092</v>
      </c>
      <c r="C916" s="2" t="s">
        <v>816</v>
      </c>
      <c r="D916" s="2" t="s">
        <v>340</v>
      </c>
      <c r="E916" s="2" t="s">
        <v>517</v>
      </c>
      <c r="F916" s="2" t="s">
        <v>519</v>
      </c>
      <c r="G916" s="2" t="s">
        <v>548</v>
      </c>
      <c r="H916" s="2" t="s">
        <v>553</v>
      </c>
      <c r="I916" s="4">
        <v>1</v>
      </c>
      <c r="J916" s="5">
        <v>171000</v>
      </c>
      <c r="K916" s="5">
        <f>ROUND(IF(ISNUMBER(J916), I916*J916, I916),5)</f>
        <v>171000</v>
      </c>
    </row>
    <row r="917" spans="1:11" x14ac:dyDescent="0.3">
      <c r="A917" s="2" t="s">
        <v>11</v>
      </c>
      <c r="B917" s="3">
        <v>46092</v>
      </c>
      <c r="C917" s="2" t="s">
        <v>816</v>
      </c>
      <c r="D917" s="2" t="s">
        <v>340</v>
      </c>
      <c r="E917" s="2" t="s">
        <v>521</v>
      </c>
      <c r="F917" s="2" t="s">
        <v>540</v>
      </c>
      <c r="G917" s="2" t="s">
        <v>548</v>
      </c>
      <c r="H917" s="2" t="s">
        <v>553</v>
      </c>
      <c r="I917" s="4">
        <v>2</v>
      </c>
      <c r="J917" s="5">
        <v>36000</v>
      </c>
      <c r="K917" s="5">
        <f>ROUND(IF(ISNUMBER(J917), I917*J917, I917),5)</f>
        <v>72000</v>
      </c>
    </row>
    <row r="918" spans="1:11" x14ac:dyDescent="0.3">
      <c r="A918" s="2" t="s">
        <v>11</v>
      </c>
      <c r="B918" s="3">
        <v>46094</v>
      </c>
      <c r="C918" s="2" t="s">
        <v>817</v>
      </c>
      <c r="D918" s="2" t="s">
        <v>336</v>
      </c>
      <c r="E918" s="2" t="s">
        <v>473</v>
      </c>
      <c r="F918" s="2" t="s">
        <v>544</v>
      </c>
      <c r="G918" s="2" t="s">
        <v>549</v>
      </c>
      <c r="H918" s="2" t="s">
        <v>553</v>
      </c>
      <c r="I918" s="4">
        <v>1</v>
      </c>
      <c r="J918" s="5">
        <v>15712.5</v>
      </c>
      <c r="K918" s="5">
        <f>ROUND(IF(ISNUMBER(J918), I918*J918, I918),5)</f>
        <v>15712.5</v>
      </c>
    </row>
    <row r="919" spans="1:11" x14ac:dyDescent="0.3">
      <c r="A919" s="2" t="s">
        <v>11</v>
      </c>
      <c r="B919" s="3">
        <v>46094</v>
      </c>
      <c r="C919" s="2" t="s">
        <v>818</v>
      </c>
      <c r="D919" s="2" t="s">
        <v>858</v>
      </c>
      <c r="E919" s="2" t="s">
        <v>456</v>
      </c>
      <c r="F919" s="2" t="s">
        <v>542</v>
      </c>
      <c r="G919" s="2" t="s">
        <v>550</v>
      </c>
      <c r="H919" s="2" t="s">
        <v>554</v>
      </c>
      <c r="I919" s="4">
        <v>3</v>
      </c>
      <c r="J919" s="5">
        <v>15900</v>
      </c>
      <c r="K919" s="5">
        <f>ROUND(IF(ISNUMBER(J919), I919*J919, I919),5)</f>
        <v>47700</v>
      </c>
    </row>
    <row r="920" spans="1:11" x14ac:dyDescent="0.3">
      <c r="A920" s="2" t="s">
        <v>11</v>
      </c>
      <c r="B920" s="3">
        <v>46094</v>
      </c>
      <c r="C920" s="2" t="s">
        <v>819</v>
      </c>
      <c r="D920" s="2" t="s">
        <v>417</v>
      </c>
      <c r="E920" s="2" t="s">
        <v>479</v>
      </c>
      <c r="F920" s="2" t="s">
        <v>542</v>
      </c>
      <c r="G920" s="2" t="s">
        <v>551</v>
      </c>
      <c r="H920" s="2" t="s">
        <v>553</v>
      </c>
      <c r="I920" s="4">
        <v>1</v>
      </c>
      <c r="J920" s="5">
        <v>18000</v>
      </c>
      <c r="K920" s="5">
        <f>ROUND(IF(ISNUMBER(J920), I920*J920, I920),5)</f>
        <v>18000</v>
      </c>
    </row>
    <row r="921" spans="1:11" x14ac:dyDescent="0.3">
      <c r="A921" s="2" t="s">
        <v>11</v>
      </c>
      <c r="B921" s="3">
        <v>46095</v>
      </c>
      <c r="C921" s="2" t="s">
        <v>820</v>
      </c>
      <c r="D921" s="2" t="s">
        <v>425</v>
      </c>
      <c r="E921" s="2" t="s">
        <v>537</v>
      </c>
      <c r="F921" s="2" t="s">
        <v>542</v>
      </c>
      <c r="G921" s="2" t="s">
        <v>550</v>
      </c>
      <c r="H921" s="2" t="s">
        <v>554</v>
      </c>
      <c r="I921" s="4">
        <v>24</v>
      </c>
      <c r="J921" s="5">
        <v>9200</v>
      </c>
      <c r="K921" s="5">
        <f>ROUND(IF(ISNUMBER(J921), I921*J921, I921),5)</f>
        <v>220800</v>
      </c>
    </row>
    <row r="922" spans="1:11" x14ac:dyDescent="0.3">
      <c r="A922" s="2" t="s">
        <v>11</v>
      </c>
      <c r="B922" s="3">
        <v>46097</v>
      </c>
      <c r="C922" s="2" t="s">
        <v>821</v>
      </c>
      <c r="D922" s="2" t="s">
        <v>329</v>
      </c>
      <c r="E922" s="2" t="s">
        <v>534</v>
      </c>
      <c r="F922" s="2" t="s">
        <v>519</v>
      </c>
      <c r="G922" s="2" t="s">
        <v>548</v>
      </c>
      <c r="H922" s="2" t="s">
        <v>553</v>
      </c>
      <c r="I922" s="4">
        <v>1</v>
      </c>
      <c r="J922" s="5">
        <v>265275</v>
      </c>
      <c r="K922" s="5">
        <f>ROUND(IF(ISNUMBER(J922), I922*J922, I922),5)</f>
        <v>265275</v>
      </c>
    </row>
    <row r="923" spans="1:11" x14ac:dyDescent="0.3">
      <c r="A923" s="2" t="s">
        <v>11</v>
      </c>
      <c r="B923" s="3">
        <v>46097</v>
      </c>
      <c r="C923" s="2" t="s">
        <v>821</v>
      </c>
      <c r="D923" s="2" t="s">
        <v>329</v>
      </c>
      <c r="E923" s="2" t="s">
        <v>482</v>
      </c>
      <c r="F923" s="2" t="s">
        <v>540</v>
      </c>
      <c r="G923" s="2" t="s">
        <v>548</v>
      </c>
      <c r="H923" s="2" t="s">
        <v>553</v>
      </c>
      <c r="I923" s="4">
        <v>2</v>
      </c>
      <c r="J923" s="5">
        <v>128587.5</v>
      </c>
      <c r="K923" s="5">
        <f>ROUND(IF(ISNUMBER(J923), I923*J923, I923),5)</f>
        <v>257175</v>
      </c>
    </row>
    <row r="924" spans="1:11" x14ac:dyDescent="0.3">
      <c r="A924" s="2" t="s">
        <v>11</v>
      </c>
      <c r="B924" s="3">
        <v>46097</v>
      </c>
      <c r="C924" s="2" t="s">
        <v>822</v>
      </c>
      <c r="D924" s="2" t="s">
        <v>896</v>
      </c>
      <c r="E924" s="2" t="s">
        <v>522</v>
      </c>
      <c r="F924" s="2" t="s">
        <v>519</v>
      </c>
      <c r="G924" s="2" t="s">
        <v>551</v>
      </c>
      <c r="H924" s="2" t="s">
        <v>554</v>
      </c>
      <c r="I924" s="4">
        <v>1</v>
      </c>
      <c r="J924" s="5">
        <v>447000</v>
      </c>
      <c r="K924" s="5">
        <f>ROUND(IF(ISNUMBER(J924), I924*J924, I924),5)</f>
        <v>447000</v>
      </c>
    </row>
    <row r="925" spans="1:11" x14ac:dyDescent="0.3">
      <c r="A925" s="2" t="s">
        <v>11</v>
      </c>
      <c r="B925" s="3">
        <v>46098</v>
      </c>
      <c r="C925" s="2" t="s">
        <v>823</v>
      </c>
      <c r="D925" s="2" t="s">
        <v>385</v>
      </c>
      <c r="E925" s="2" t="s">
        <v>449</v>
      </c>
      <c r="F925" s="2" t="s">
        <v>450</v>
      </c>
      <c r="G925" s="2" t="s">
        <v>551</v>
      </c>
      <c r="H925" s="2" t="s">
        <v>553</v>
      </c>
      <c r="I925" s="4">
        <v>4</v>
      </c>
      <c r="J925" s="5">
        <v>39000</v>
      </c>
      <c r="K925" s="5">
        <f>ROUND(IF(ISNUMBER(J925), I925*J925, I925),5)</f>
        <v>156000</v>
      </c>
    </row>
    <row r="926" spans="1:11" x14ac:dyDescent="0.3">
      <c r="A926" s="2" t="s">
        <v>11</v>
      </c>
      <c r="B926" s="3">
        <v>46099</v>
      </c>
      <c r="C926" s="2" t="s">
        <v>824</v>
      </c>
      <c r="D926" s="2" t="s">
        <v>437</v>
      </c>
      <c r="E926" s="2" t="s">
        <v>452</v>
      </c>
      <c r="F926" s="2" t="s">
        <v>542</v>
      </c>
      <c r="G926" s="2" t="s">
        <v>550</v>
      </c>
      <c r="H926" s="2" t="s">
        <v>554</v>
      </c>
      <c r="I926" s="4">
        <v>5</v>
      </c>
      <c r="J926" s="5">
        <v>11000</v>
      </c>
      <c r="K926" s="5">
        <f>ROUND(IF(ISNUMBER(J926), I926*J926, I926),5)</f>
        <v>55000</v>
      </c>
    </row>
    <row r="927" spans="1:11" x14ac:dyDescent="0.3">
      <c r="A927" s="2" t="s">
        <v>11</v>
      </c>
      <c r="B927" s="3">
        <v>46099</v>
      </c>
      <c r="C927" s="2" t="s">
        <v>824</v>
      </c>
      <c r="D927" s="2" t="s">
        <v>437</v>
      </c>
      <c r="E927" s="2" t="s">
        <v>487</v>
      </c>
      <c r="F927" s="2" t="s">
        <v>542</v>
      </c>
      <c r="G927" s="2" t="s">
        <v>550</v>
      </c>
      <c r="H927" s="2" t="s">
        <v>554</v>
      </c>
      <c r="I927" s="4">
        <v>1</v>
      </c>
      <c r="J927" s="5">
        <v>23800</v>
      </c>
      <c r="K927" s="5">
        <f>ROUND(IF(ISNUMBER(J927), I927*J927, I927),5)</f>
        <v>23800</v>
      </c>
    </row>
    <row r="928" spans="1:11" x14ac:dyDescent="0.3">
      <c r="A928" s="2" t="s">
        <v>11</v>
      </c>
      <c r="B928" s="3">
        <v>46099</v>
      </c>
      <c r="C928" s="2" t="s">
        <v>824</v>
      </c>
      <c r="D928" s="2" t="s">
        <v>437</v>
      </c>
      <c r="E928" s="2" t="s">
        <v>456</v>
      </c>
      <c r="F928" s="2" t="s">
        <v>542</v>
      </c>
      <c r="G928" s="2" t="s">
        <v>550</v>
      </c>
      <c r="H928" s="2" t="s">
        <v>554</v>
      </c>
      <c r="I928" s="4">
        <v>5</v>
      </c>
      <c r="J928" s="5">
        <v>16500</v>
      </c>
      <c r="K928" s="5">
        <f>ROUND(IF(ISNUMBER(J928), I928*J928, I928),5)</f>
        <v>82500</v>
      </c>
    </row>
    <row r="929" spans="1:11" x14ac:dyDescent="0.3">
      <c r="A929" s="2" t="s">
        <v>11</v>
      </c>
      <c r="B929" s="3">
        <v>46099</v>
      </c>
      <c r="C929" s="2" t="s">
        <v>824</v>
      </c>
      <c r="D929" s="2" t="s">
        <v>437</v>
      </c>
      <c r="E929" s="2" t="s">
        <v>930</v>
      </c>
      <c r="F929" s="2" t="s">
        <v>542</v>
      </c>
      <c r="G929" s="2" t="s">
        <v>550</v>
      </c>
      <c r="H929" s="2" t="s">
        <v>554</v>
      </c>
      <c r="I929" s="4">
        <v>5</v>
      </c>
      <c r="J929" s="5">
        <v>11000</v>
      </c>
      <c r="K929" s="5">
        <f>ROUND(IF(ISNUMBER(J929), I929*J929, I929),5)</f>
        <v>55000</v>
      </c>
    </row>
    <row r="930" spans="1:11" x14ac:dyDescent="0.3">
      <c r="A930" s="2" t="s">
        <v>11</v>
      </c>
      <c r="B930" s="3">
        <v>46100</v>
      </c>
      <c r="C930" s="2" t="s">
        <v>825</v>
      </c>
      <c r="D930" s="2" t="s">
        <v>435</v>
      </c>
      <c r="E930" s="2" t="s">
        <v>482</v>
      </c>
      <c r="F930" s="2" t="s">
        <v>540</v>
      </c>
      <c r="G930" s="2" t="s">
        <v>548</v>
      </c>
      <c r="H930" s="2" t="s">
        <v>553</v>
      </c>
      <c r="I930" s="4">
        <v>4</v>
      </c>
      <c r="J930" s="5">
        <v>151000</v>
      </c>
      <c r="K930" s="5">
        <f>ROUND(IF(ISNUMBER(J930), I930*J930, I930),5)</f>
        <v>604000</v>
      </c>
    </row>
    <row r="931" spans="1:11" x14ac:dyDescent="0.3">
      <c r="A931" s="2" t="s">
        <v>11</v>
      </c>
      <c r="B931" s="3">
        <v>46100</v>
      </c>
      <c r="C931" s="2" t="s">
        <v>826</v>
      </c>
      <c r="D931" s="2" t="s">
        <v>340</v>
      </c>
      <c r="E931" s="2" t="s">
        <v>444</v>
      </c>
      <c r="F931" s="2" t="s">
        <v>519</v>
      </c>
      <c r="G931" s="2" t="s">
        <v>548</v>
      </c>
      <c r="H931" s="2" t="s">
        <v>553</v>
      </c>
      <c r="I931" s="4">
        <v>1</v>
      </c>
      <c r="J931" s="5">
        <v>132000</v>
      </c>
      <c r="K931" s="5">
        <f>ROUND(IF(ISNUMBER(J931), I931*J931, I931),5)</f>
        <v>132000</v>
      </c>
    </row>
    <row r="932" spans="1:11" x14ac:dyDescent="0.3">
      <c r="A932" s="2" t="s">
        <v>11</v>
      </c>
      <c r="B932" s="3">
        <v>46100</v>
      </c>
      <c r="C932" s="2" t="s">
        <v>826</v>
      </c>
      <c r="D932" s="2" t="s">
        <v>340</v>
      </c>
      <c r="E932" s="2" t="s">
        <v>466</v>
      </c>
      <c r="F932" s="2" t="s">
        <v>540</v>
      </c>
      <c r="G932" s="2" t="s">
        <v>548</v>
      </c>
      <c r="H932" s="2" t="s">
        <v>553</v>
      </c>
      <c r="I932" s="4">
        <v>4</v>
      </c>
      <c r="J932" s="5">
        <v>90000</v>
      </c>
      <c r="K932" s="5">
        <f>ROUND(IF(ISNUMBER(J932), I932*J932, I932),5)</f>
        <v>360000</v>
      </c>
    </row>
    <row r="933" spans="1:11" x14ac:dyDescent="0.3">
      <c r="A933" s="2" t="s">
        <v>11</v>
      </c>
      <c r="B933" s="3">
        <v>46100</v>
      </c>
      <c r="C933" s="2" t="s">
        <v>827</v>
      </c>
      <c r="D933" s="2" t="s">
        <v>438</v>
      </c>
      <c r="E933" s="2" t="s">
        <v>536</v>
      </c>
      <c r="F933" s="2" t="s">
        <v>540</v>
      </c>
      <c r="G933" s="2" t="s">
        <v>548</v>
      </c>
      <c r="H933" s="2" t="s">
        <v>554</v>
      </c>
      <c r="I933" s="4">
        <v>2</v>
      </c>
      <c r="J933" s="5">
        <v>363440</v>
      </c>
      <c r="K933" s="5">
        <f>ROUND(IF(ISNUMBER(J933), I933*J933, I933),5)</f>
        <v>726880</v>
      </c>
    </row>
    <row r="934" spans="1:11" x14ac:dyDescent="0.3">
      <c r="A934" s="2" t="s">
        <v>11</v>
      </c>
      <c r="B934" s="3">
        <v>46100</v>
      </c>
      <c r="C934" s="2" t="s">
        <v>828</v>
      </c>
      <c r="D934" s="2" t="s">
        <v>377</v>
      </c>
      <c r="E934" s="2" t="s">
        <v>527</v>
      </c>
      <c r="F934" s="2" t="s">
        <v>542</v>
      </c>
      <c r="G934" s="2" t="s">
        <v>550</v>
      </c>
      <c r="H934" s="2" t="s">
        <v>554</v>
      </c>
      <c r="I934" s="4">
        <v>1</v>
      </c>
      <c r="J934" s="5">
        <v>6200</v>
      </c>
      <c r="K934" s="5">
        <f>ROUND(IF(ISNUMBER(J934), I934*J934, I934),5)</f>
        <v>6200</v>
      </c>
    </row>
    <row r="935" spans="1:11" x14ac:dyDescent="0.3">
      <c r="A935" s="2" t="s">
        <v>11</v>
      </c>
      <c r="B935" s="3">
        <v>46101</v>
      </c>
      <c r="C935" s="2" t="s">
        <v>829</v>
      </c>
      <c r="D935" s="2" t="s">
        <v>897</v>
      </c>
      <c r="E935" s="2" t="s">
        <v>481</v>
      </c>
      <c r="F935" s="2" t="s">
        <v>519</v>
      </c>
      <c r="G935" s="2" t="s">
        <v>551</v>
      </c>
      <c r="H935" s="2" t="s">
        <v>553</v>
      </c>
      <c r="I935" s="4">
        <v>1</v>
      </c>
      <c r="J935" s="5">
        <v>621000</v>
      </c>
      <c r="K935" s="5">
        <f>ROUND(IF(ISNUMBER(J935), I935*J935, I935),5)</f>
        <v>621000</v>
      </c>
    </row>
    <row r="936" spans="1:11" x14ac:dyDescent="0.3">
      <c r="A936" s="2" t="s">
        <v>11</v>
      </c>
      <c r="B936" s="3">
        <v>46101</v>
      </c>
      <c r="C936" s="2" t="s">
        <v>829</v>
      </c>
      <c r="D936" s="2" t="s">
        <v>897</v>
      </c>
      <c r="E936" s="2" t="s">
        <v>912</v>
      </c>
      <c r="F936" s="2" t="s">
        <v>540</v>
      </c>
      <c r="G936" s="2" t="s">
        <v>551</v>
      </c>
      <c r="H936" s="2" t="s">
        <v>553</v>
      </c>
      <c r="I936" s="4">
        <v>4</v>
      </c>
      <c r="J936" s="5">
        <v>103000</v>
      </c>
      <c r="K936" s="5">
        <f>ROUND(IF(ISNUMBER(J936), I936*J936, I936),5)</f>
        <v>412000</v>
      </c>
    </row>
    <row r="937" spans="1:11" x14ac:dyDescent="0.3">
      <c r="A937" s="2" t="s">
        <v>11</v>
      </c>
      <c r="B937" s="3">
        <v>46101</v>
      </c>
      <c r="C937" s="2" t="s">
        <v>829</v>
      </c>
      <c r="D937" s="2" t="s">
        <v>897</v>
      </c>
      <c r="E937" s="2" t="s">
        <v>483</v>
      </c>
      <c r="F937" s="2" t="s">
        <v>519</v>
      </c>
      <c r="G937" s="2" t="s">
        <v>551</v>
      </c>
      <c r="H937" s="2" t="s">
        <v>553</v>
      </c>
      <c r="I937" s="4">
        <v>1</v>
      </c>
      <c r="J937" s="5"/>
      <c r="K937" s="5"/>
    </row>
    <row r="938" spans="1:11" x14ac:dyDescent="0.3">
      <c r="A938" s="2" t="s">
        <v>11</v>
      </c>
      <c r="B938" s="3">
        <v>46101</v>
      </c>
      <c r="C938" s="2" t="s">
        <v>829</v>
      </c>
      <c r="D938" s="2" t="s">
        <v>897</v>
      </c>
      <c r="E938" s="2" t="s">
        <v>931</v>
      </c>
      <c r="F938" s="2" t="s">
        <v>503</v>
      </c>
      <c r="G938" s="2" t="s">
        <v>551</v>
      </c>
      <c r="H938" s="2" t="s">
        <v>553</v>
      </c>
      <c r="I938" s="4">
        <v>1</v>
      </c>
      <c r="J938" s="5"/>
      <c r="K938" s="5"/>
    </row>
    <row r="939" spans="1:11" x14ac:dyDescent="0.3">
      <c r="A939" s="2" t="s">
        <v>11</v>
      </c>
      <c r="B939" s="3">
        <v>46101</v>
      </c>
      <c r="C939" s="2" t="s">
        <v>830</v>
      </c>
      <c r="D939" s="2" t="s">
        <v>335</v>
      </c>
      <c r="E939" s="2" t="s">
        <v>473</v>
      </c>
      <c r="F939" s="2" t="s">
        <v>544</v>
      </c>
      <c r="G939" s="2" t="s">
        <v>549</v>
      </c>
      <c r="H939" s="2" t="s">
        <v>553</v>
      </c>
      <c r="I939" s="4">
        <v>1</v>
      </c>
      <c r="J939" s="5">
        <v>19190.310000000001</v>
      </c>
      <c r="K939" s="5">
        <f>ROUND(IF(ISNUMBER(J939), I939*J939, I939),5)</f>
        <v>19190.310000000001</v>
      </c>
    </row>
    <row r="940" spans="1:11" x14ac:dyDescent="0.3">
      <c r="A940" s="2" t="s">
        <v>11</v>
      </c>
      <c r="B940" s="3">
        <v>46101</v>
      </c>
      <c r="C940" s="2" t="s">
        <v>831</v>
      </c>
      <c r="D940" s="2" t="s">
        <v>335</v>
      </c>
      <c r="E940" s="2" t="s">
        <v>472</v>
      </c>
      <c r="F940" s="2" t="s">
        <v>544</v>
      </c>
      <c r="G940" s="2" t="s">
        <v>549</v>
      </c>
      <c r="H940" s="2" t="s">
        <v>553</v>
      </c>
      <c r="I940" s="4">
        <v>1</v>
      </c>
      <c r="J940" s="5">
        <v>6993.75</v>
      </c>
      <c r="K940" s="5">
        <f>ROUND(IF(ISNUMBER(J940), I940*J940, I940),5)</f>
        <v>6993.75</v>
      </c>
    </row>
    <row r="941" spans="1:11" x14ac:dyDescent="0.3">
      <c r="A941" s="2" t="s">
        <v>11</v>
      </c>
      <c r="B941" s="3">
        <v>46101</v>
      </c>
      <c r="C941" s="2" t="s">
        <v>832</v>
      </c>
      <c r="D941" s="2" t="s">
        <v>334</v>
      </c>
      <c r="E941" s="2" t="s">
        <v>471</v>
      </c>
      <c r="F941" s="2" t="s">
        <v>544</v>
      </c>
      <c r="G941" s="2" t="s">
        <v>549</v>
      </c>
      <c r="H941" s="2" t="s">
        <v>553</v>
      </c>
      <c r="I941" s="4">
        <v>1</v>
      </c>
      <c r="J941" s="5">
        <v>3147.5</v>
      </c>
      <c r="K941" s="5">
        <f>ROUND(IF(ISNUMBER(J941), I941*J941, I941),5)</f>
        <v>3147.5</v>
      </c>
    </row>
    <row r="942" spans="1:11" x14ac:dyDescent="0.3">
      <c r="A942" s="2" t="s">
        <v>11</v>
      </c>
      <c r="B942" s="3">
        <v>46101</v>
      </c>
      <c r="C942" s="2" t="s">
        <v>833</v>
      </c>
      <c r="D942" s="2" t="s">
        <v>402</v>
      </c>
      <c r="E942" s="2" t="s">
        <v>454</v>
      </c>
      <c r="F942" s="2" t="s">
        <v>543</v>
      </c>
      <c r="G942" s="2" t="s">
        <v>552</v>
      </c>
      <c r="H942" s="2" t="s">
        <v>554</v>
      </c>
      <c r="I942" s="4">
        <v>1</v>
      </c>
      <c r="J942" s="5">
        <v>12500</v>
      </c>
      <c r="K942" s="5">
        <f>ROUND(IF(ISNUMBER(J942), I942*J942, I942),5)</f>
        <v>12500</v>
      </c>
    </row>
    <row r="943" spans="1:11" x14ac:dyDescent="0.3">
      <c r="A943" s="2" t="s">
        <v>11</v>
      </c>
      <c r="B943" s="3">
        <v>46101</v>
      </c>
      <c r="C943" s="2" t="s">
        <v>834</v>
      </c>
      <c r="D943" s="2" t="s">
        <v>328</v>
      </c>
      <c r="E943" s="2" t="s">
        <v>454</v>
      </c>
      <c r="F943" s="2" t="s">
        <v>543</v>
      </c>
      <c r="G943" s="2" t="s">
        <v>552</v>
      </c>
      <c r="H943" s="2" t="s">
        <v>554</v>
      </c>
      <c r="I943" s="4">
        <v>1</v>
      </c>
      <c r="J943" s="5">
        <v>2000</v>
      </c>
      <c r="K943" s="5">
        <f>ROUND(IF(ISNUMBER(J943), I943*J943, I943),5)</f>
        <v>2000</v>
      </c>
    </row>
    <row r="944" spans="1:11" x14ac:dyDescent="0.3">
      <c r="A944" s="2" t="s">
        <v>11</v>
      </c>
      <c r="B944" s="3">
        <v>46101</v>
      </c>
      <c r="C944" s="2" t="s">
        <v>835</v>
      </c>
      <c r="D944" s="2" t="s">
        <v>328</v>
      </c>
      <c r="E944" s="2" t="s">
        <v>454</v>
      </c>
      <c r="F944" s="2" t="s">
        <v>543</v>
      </c>
      <c r="G944" s="2" t="s">
        <v>552</v>
      </c>
      <c r="H944" s="2" t="s">
        <v>554</v>
      </c>
      <c r="I944" s="4">
        <v>1</v>
      </c>
      <c r="J944" s="5">
        <v>2000</v>
      </c>
      <c r="K944" s="5">
        <f>ROUND(IF(ISNUMBER(J944), I944*J944, I944),5)</f>
        <v>2000</v>
      </c>
    </row>
    <row r="945" spans="1:11" x14ac:dyDescent="0.3">
      <c r="A945" s="2" t="s">
        <v>11</v>
      </c>
      <c r="B945" s="3">
        <v>46104</v>
      </c>
      <c r="C945" s="2" t="s">
        <v>836</v>
      </c>
      <c r="D945" s="2" t="s">
        <v>372</v>
      </c>
      <c r="E945" s="2" t="s">
        <v>517</v>
      </c>
      <c r="F945" s="2" t="s">
        <v>519</v>
      </c>
      <c r="G945" s="2" t="s">
        <v>548</v>
      </c>
      <c r="H945" s="2" t="s">
        <v>553</v>
      </c>
      <c r="I945" s="4">
        <v>1</v>
      </c>
      <c r="J945" s="5">
        <v>192375</v>
      </c>
      <c r="K945" s="5">
        <f>ROUND(IF(ISNUMBER(J945), I945*J945, I945),5)</f>
        <v>192375</v>
      </c>
    </row>
    <row r="946" spans="1:11" x14ac:dyDescent="0.3">
      <c r="A946" s="2" t="s">
        <v>11</v>
      </c>
      <c r="B946" s="3">
        <v>46104</v>
      </c>
      <c r="C946" s="2" t="s">
        <v>836</v>
      </c>
      <c r="D946" s="2" t="s">
        <v>372</v>
      </c>
      <c r="E946" s="2" t="s">
        <v>932</v>
      </c>
      <c r="F946" s="2" t="s">
        <v>540</v>
      </c>
      <c r="G946" s="2" t="s">
        <v>548</v>
      </c>
      <c r="H946" s="2" t="s">
        <v>553</v>
      </c>
      <c r="I946" s="4">
        <v>2</v>
      </c>
      <c r="J946" s="5">
        <v>293625</v>
      </c>
      <c r="K946" s="5">
        <f>ROUND(IF(ISNUMBER(J946), I946*J946, I946),5)</f>
        <v>587250</v>
      </c>
    </row>
    <row r="947" spans="1:11" x14ac:dyDescent="0.3">
      <c r="A947" s="2" t="s">
        <v>11</v>
      </c>
      <c r="B947" s="3">
        <v>46104</v>
      </c>
      <c r="C947" s="2" t="s">
        <v>837</v>
      </c>
      <c r="D947" s="2" t="s">
        <v>903</v>
      </c>
      <c r="E947" s="2" t="s">
        <v>491</v>
      </c>
      <c r="F947" s="2" t="s">
        <v>542</v>
      </c>
      <c r="G947" s="2" t="s">
        <v>551</v>
      </c>
      <c r="H947" s="2" t="s">
        <v>553</v>
      </c>
      <c r="I947" s="4">
        <v>2</v>
      </c>
      <c r="J947" s="5">
        <v>39500</v>
      </c>
      <c r="K947" s="5">
        <f>ROUND(IF(ISNUMBER(J947), I947*J947, I947),5)</f>
        <v>79000</v>
      </c>
    </row>
    <row r="948" spans="1:11" x14ac:dyDescent="0.3">
      <c r="A948" s="2" t="s">
        <v>11</v>
      </c>
      <c r="B948" s="3">
        <v>46104</v>
      </c>
      <c r="C948" s="2" t="s">
        <v>837</v>
      </c>
      <c r="D948" s="2" t="s">
        <v>903</v>
      </c>
      <c r="E948" s="2" t="s">
        <v>456</v>
      </c>
      <c r="F948" s="2" t="s">
        <v>542</v>
      </c>
      <c r="G948" s="2" t="s">
        <v>551</v>
      </c>
      <c r="H948" s="2" t="s">
        <v>553</v>
      </c>
      <c r="I948" s="4">
        <v>2</v>
      </c>
      <c r="J948" s="5">
        <v>12000</v>
      </c>
      <c r="K948" s="5">
        <f>ROUND(IF(ISNUMBER(J948), I948*J948, I948),5)</f>
        <v>24000</v>
      </c>
    </row>
    <row r="949" spans="1:11" x14ac:dyDescent="0.3">
      <c r="A949" s="2" t="s">
        <v>11</v>
      </c>
      <c r="B949" s="3">
        <v>46104</v>
      </c>
      <c r="C949" s="2" t="s">
        <v>838</v>
      </c>
      <c r="D949" s="2" t="s">
        <v>904</v>
      </c>
      <c r="E949" s="2" t="s">
        <v>472</v>
      </c>
      <c r="F949" s="2" t="s">
        <v>544</v>
      </c>
      <c r="G949" s="2" t="s">
        <v>549</v>
      </c>
      <c r="H949" s="2" t="s">
        <v>554</v>
      </c>
      <c r="I949" s="4">
        <v>2</v>
      </c>
      <c r="J949" s="5">
        <v>5900</v>
      </c>
      <c r="K949" s="5">
        <f>ROUND(IF(ISNUMBER(J949), I949*J949, I949),5)</f>
        <v>11800</v>
      </c>
    </row>
    <row r="950" spans="1:11" x14ac:dyDescent="0.3">
      <c r="A950" s="2" t="s">
        <v>11</v>
      </c>
      <c r="B950" s="3">
        <v>46105</v>
      </c>
      <c r="C950" s="2" t="s">
        <v>839</v>
      </c>
      <c r="D950" s="2" t="s">
        <v>905</v>
      </c>
      <c r="E950" s="2" t="s">
        <v>527</v>
      </c>
      <c r="F950" s="2" t="s">
        <v>542</v>
      </c>
      <c r="G950" s="2" t="s">
        <v>551</v>
      </c>
      <c r="H950" s="2" t="s">
        <v>553</v>
      </c>
      <c r="I950" s="4">
        <v>1</v>
      </c>
      <c r="J950" s="5">
        <v>5500</v>
      </c>
      <c r="K950" s="5">
        <f>ROUND(IF(ISNUMBER(J950), I950*J950, I950),5)</f>
        <v>5500</v>
      </c>
    </row>
    <row r="951" spans="1:11" x14ac:dyDescent="0.3">
      <c r="A951" s="2" t="s">
        <v>11</v>
      </c>
      <c r="B951" s="3">
        <v>46105</v>
      </c>
      <c r="C951" s="2" t="s">
        <v>840</v>
      </c>
      <c r="D951" s="2" t="s">
        <v>906</v>
      </c>
      <c r="E951" s="2" t="s">
        <v>933</v>
      </c>
      <c r="F951" s="2" t="s">
        <v>519</v>
      </c>
      <c r="G951" s="2" t="s">
        <v>548</v>
      </c>
      <c r="H951" s="2" t="s">
        <v>553</v>
      </c>
      <c r="I951" s="4">
        <v>1</v>
      </c>
      <c r="J951" s="5">
        <v>442000</v>
      </c>
      <c r="K951" s="5">
        <f>ROUND(IF(ISNUMBER(J951), I951*J951, I951),5)</f>
        <v>442000</v>
      </c>
    </row>
    <row r="952" spans="1:11" x14ac:dyDescent="0.3">
      <c r="A952" s="2" t="s">
        <v>11</v>
      </c>
      <c r="B952" s="3">
        <v>46105</v>
      </c>
      <c r="C952" s="2" t="s">
        <v>840</v>
      </c>
      <c r="D952" s="2" t="s">
        <v>906</v>
      </c>
      <c r="E952" s="2" t="s">
        <v>912</v>
      </c>
      <c r="F952" s="2" t="s">
        <v>540</v>
      </c>
      <c r="G952" s="2" t="s">
        <v>548</v>
      </c>
      <c r="H952" s="2" t="s">
        <v>553</v>
      </c>
      <c r="I952" s="4">
        <v>3</v>
      </c>
      <c r="J952" s="5">
        <v>97000</v>
      </c>
      <c r="K952" s="5">
        <f>ROUND(IF(ISNUMBER(J952), I952*J952, I952),5)</f>
        <v>291000</v>
      </c>
    </row>
    <row r="953" spans="1:11" x14ac:dyDescent="0.3">
      <c r="A953" s="2" t="s">
        <v>11</v>
      </c>
      <c r="B953" s="3">
        <v>46105</v>
      </c>
      <c r="C953" s="2" t="s">
        <v>840</v>
      </c>
      <c r="D953" s="2" t="s">
        <v>906</v>
      </c>
      <c r="E953" s="2" t="s">
        <v>483</v>
      </c>
      <c r="F953" s="2" t="s">
        <v>519</v>
      </c>
      <c r="G953" s="2" t="s">
        <v>548</v>
      </c>
      <c r="H953" s="2" t="s">
        <v>553</v>
      </c>
      <c r="I953" s="4">
        <v>1</v>
      </c>
      <c r="J953" s="5"/>
      <c r="K953" s="5"/>
    </row>
    <row r="954" spans="1:11" x14ac:dyDescent="0.3">
      <c r="A954" s="2" t="s">
        <v>11</v>
      </c>
      <c r="B954" s="3">
        <v>46106</v>
      </c>
      <c r="C954" s="2" t="s">
        <v>841</v>
      </c>
      <c r="D954" s="2" t="s">
        <v>313</v>
      </c>
      <c r="E954" s="2" t="s">
        <v>444</v>
      </c>
      <c r="F954" s="2" t="s">
        <v>519</v>
      </c>
      <c r="G954" s="2" t="s">
        <v>549</v>
      </c>
      <c r="H954" s="2" t="s">
        <v>553</v>
      </c>
      <c r="I954" s="4">
        <v>2</v>
      </c>
      <c r="J954" s="5">
        <v>133300</v>
      </c>
      <c r="K954" s="5">
        <f>ROUND(IF(ISNUMBER(J954), I954*J954, I954),5)</f>
        <v>266600</v>
      </c>
    </row>
    <row r="955" spans="1:11" x14ac:dyDescent="0.3">
      <c r="A955" s="2" t="s">
        <v>11</v>
      </c>
      <c r="B955" s="3">
        <v>46106</v>
      </c>
      <c r="C955" s="2" t="s">
        <v>842</v>
      </c>
      <c r="D955" s="2" t="s">
        <v>313</v>
      </c>
      <c r="E955" s="2" t="s">
        <v>511</v>
      </c>
      <c r="F955" s="2" t="s">
        <v>542</v>
      </c>
      <c r="G955" s="2" t="s">
        <v>550</v>
      </c>
      <c r="H955" s="2" t="s">
        <v>553</v>
      </c>
      <c r="I955" s="4">
        <v>1</v>
      </c>
      <c r="J955" s="5">
        <v>16950</v>
      </c>
      <c r="K955" s="5">
        <f>ROUND(IF(ISNUMBER(J955), I955*J955, I955),5)</f>
        <v>16950</v>
      </c>
    </row>
    <row r="956" spans="1:11" x14ac:dyDescent="0.3">
      <c r="A956" s="2" t="s">
        <v>11</v>
      </c>
      <c r="B956" s="3">
        <v>46106</v>
      </c>
      <c r="C956" s="2" t="s">
        <v>842</v>
      </c>
      <c r="D956" s="2" t="s">
        <v>313</v>
      </c>
      <c r="E956" s="2" t="s">
        <v>457</v>
      </c>
      <c r="F956" s="2" t="s">
        <v>542</v>
      </c>
      <c r="G956" s="2" t="s">
        <v>550</v>
      </c>
      <c r="H956" s="2" t="s">
        <v>553</v>
      </c>
      <c r="I956" s="4">
        <v>2</v>
      </c>
      <c r="J956" s="5">
        <v>20000</v>
      </c>
      <c r="K956" s="5">
        <f>ROUND(IF(ISNUMBER(J956), I956*J956, I956),5)</f>
        <v>40000</v>
      </c>
    </row>
    <row r="957" spans="1:11" x14ac:dyDescent="0.3">
      <c r="A957" s="2" t="s">
        <v>11</v>
      </c>
      <c r="B957" s="3">
        <v>46106</v>
      </c>
      <c r="C957" s="2" t="s">
        <v>842</v>
      </c>
      <c r="D957" s="2" t="s">
        <v>313</v>
      </c>
      <c r="E957" s="2" t="s">
        <v>934</v>
      </c>
      <c r="F957" s="2" t="s">
        <v>542</v>
      </c>
      <c r="G957" s="2" t="s">
        <v>550</v>
      </c>
      <c r="H957" s="2" t="s">
        <v>553</v>
      </c>
      <c r="I957" s="4">
        <v>3</v>
      </c>
      <c r="J957" s="5">
        <v>5300</v>
      </c>
      <c r="K957" s="5">
        <f>ROUND(IF(ISNUMBER(J957), I957*J957, I957),5)</f>
        <v>15900</v>
      </c>
    </row>
    <row r="958" spans="1:11" x14ac:dyDescent="0.3">
      <c r="A958" s="2" t="s">
        <v>11</v>
      </c>
      <c r="B958" s="3">
        <v>46106</v>
      </c>
      <c r="C958" s="2" t="s">
        <v>842</v>
      </c>
      <c r="D958" s="2" t="s">
        <v>313</v>
      </c>
      <c r="E958" s="2" t="s">
        <v>456</v>
      </c>
      <c r="F958" s="2" t="s">
        <v>542</v>
      </c>
      <c r="G958" s="2" t="s">
        <v>550</v>
      </c>
      <c r="H958" s="2" t="s">
        <v>553</v>
      </c>
      <c r="I958" s="4">
        <v>2</v>
      </c>
      <c r="J958" s="5">
        <v>13200</v>
      </c>
      <c r="K958" s="5">
        <f>ROUND(IF(ISNUMBER(J958), I958*J958, I958),5)</f>
        <v>26400</v>
      </c>
    </row>
    <row r="959" spans="1:11" x14ac:dyDescent="0.3">
      <c r="A959" s="2" t="s">
        <v>11</v>
      </c>
      <c r="B959" s="3">
        <v>46106</v>
      </c>
      <c r="C959" s="2" t="s">
        <v>842</v>
      </c>
      <c r="D959" s="2" t="s">
        <v>313</v>
      </c>
      <c r="E959" s="2" t="s">
        <v>527</v>
      </c>
      <c r="F959" s="2" t="s">
        <v>542</v>
      </c>
      <c r="G959" s="2" t="s">
        <v>550</v>
      </c>
      <c r="H959" s="2" t="s">
        <v>553</v>
      </c>
      <c r="I959" s="4">
        <v>10</v>
      </c>
      <c r="J959" s="5">
        <v>5000</v>
      </c>
      <c r="K959" s="5">
        <f>ROUND(IF(ISNUMBER(J959), I959*J959, I959),5)</f>
        <v>50000</v>
      </c>
    </row>
    <row r="960" spans="1:11" x14ac:dyDescent="0.3">
      <c r="A960" s="2" t="s">
        <v>11</v>
      </c>
      <c r="B960" s="3">
        <v>46106</v>
      </c>
      <c r="C960" s="2" t="s">
        <v>842</v>
      </c>
      <c r="D960" s="2" t="s">
        <v>313</v>
      </c>
      <c r="E960" s="2" t="s">
        <v>480</v>
      </c>
      <c r="F960" s="2" t="s">
        <v>542</v>
      </c>
      <c r="G960" s="2" t="s">
        <v>550</v>
      </c>
      <c r="H960" s="2" t="s">
        <v>553</v>
      </c>
      <c r="I960" s="4">
        <v>3</v>
      </c>
      <c r="J960" s="5">
        <v>7000</v>
      </c>
      <c r="K960" s="5">
        <f>ROUND(IF(ISNUMBER(J960), I960*J960, I960),5)</f>
        <v>21000</v>
      </c>
    </row>
    <row r="961" spans="1:11" x14ac:dyDescent="0.3">
      <c r="A961" s="2" t="s">
        <v>11</v>
      </c>
      <c r="B961" s="3">
        <v>46106</v>
      </c>
      <c r="C961" s="2" t="s">
        <v>842</v>
      </c>
      <c r="D961" s="2" t="s">
        <v>313</v>
      </c>
      <c r="E961" s="2" t="s">
        <v>452</v>
      </c>
      <c r="F961" s="2" t="s">
        <v>542</v>
      </c>
      <c r="G961" s="2" t="s">
        <v>550</v>
      </c>
      <c r="H961" s="2" t="s">
        <v>553</v>
      </c>
      <c r="I961" s="4">
        <v>2</v>
      </c>
      <c r="J961" s="5">
        <v>9200</v>
      </c>
      <c r="K961" s="5">
        <f>ROUND(IF(ISNUMBER(J961), I961*J961, I961),5)</f>
        <v>18400</v>
      </c>
    </row>
    <row r="962" spans="1:11" x14ac:dyDescent="0.3">
      <c r="A962" s="2" t="s">
        <v>11</v>
      </c>
      <c r="B962" s="3">
        <v>46106</v>
      </c>
      <c r="C962" s="2" t="s">
        <v>842</v>
      </c>
      <c r="D962" s="2" t="s">
        <v>313</v>
      </c>
      <c r="E962" s="2" t="s">
        <v>935</v>
      </c>
      <c r="F962" s="2" t="s">
        <v>542</v>
      </c>
      <c r="G962" s="2" t="s">
        <v>550</v>
      </c>
      <c r="H962" s="2" t="s">
        <v>553</v>
      </c>
      <c r="I962" s="4">
        <v>4</v>
      </c>
      <c r="J962" s="5">
        <v>3700</v>
      </c>
      <c r="K962" s="5">
        <f>ROUND(IF(ISNUMBER(J962), I962*J962, I962),5)</f>
        <v>14800</v>
      </c>
    </row>
    <row r="963" spans="1:11" x14ac:dyDescent="0.3">
      <c r="A963" s="2" t="s">
        <v>11</v>
      </c>
      <c r="B963" s="3">
        <v>46106</v>
      </c>
      <c r="C963" s="2" t="s">
        <v>842</v>
      </c>
      <c r="D963" s="2" t="s">
        <v>313</v>
      </c>
      <c r="E963" s="2" t="s">
        <v>930</v>
      </c>
      <c r="F963" s="2" t="s">
        <v>542</v>
      </c>
      <c r="G963" s="2" t="s">
        <v>550</v>
      </c>
      <c r="H963" s="2" t="s">
        <v>553</v>
      </c>
      <c r="I963" s="4">
        <v>2</v>
      </c>
      <c r="J963" s="5">
        <v>9400</v>
      </c>
      <c r="K963" s="5">
        <f>ROUND(IF(ISNUMBER(J963), I963*J963, I963),5)</f>
        <v>18800</v>
      </c>
    </row>
    <row r="964" spans="1:11" x14ac:dyDescent="0.3">
      <c r="A964" s="2" t="s">
        <v>11</v>
      </c>
      <c r="B964" s="3">
        <v>46106</v>
      </c>
      <c r="C964" s="2" t="s">
        <v>843</v>
      </c>
      <c r="D964" s="2" t="s">
        <v>436</v>
      </c>
      <c r="E964" s="2" t="s">
        <v>511</v>
      </c>
      <c r="F964" s="2" t="s">
        <v>542</v>
      </c>
      <c r="G964" s="2" t="s">
        <v>550</v>
      </c>
      <c r="H964" s="2" t="s">
        <v>554</v>
      </c>
      <c r="I964" s="4">
        <v>1</v>
      </c>
      <c r="J964" s="5">
        <v>21000</v>
      </c>
      <c r="K964" s="5">
        <f>ROUND(IF(ISNUMBER(J964), I964*J964, I964),5)</f>
        <v>21000</v>
      </c>
    </row>
    <row r="965" spans="1:11" x14ac:dyDescent="0.3">
      <c r="A965" s="2" t="s">
        <v>11</v>
      </c>
      <c r="B965" s="3">
        <v>46106</v>
      </c>
      <c r="C965" s="2" t="s">
        <v>843</v>
      </c>
      <c r="D965" s="2" t="s">
        <v>436</v>
      </c>
      <c r="E965" s="2" t="s">
        <v>456</v>
      </c>
      <c r="F965" s="2" t="s">
        <v>542</v>
      </c>
      <c r="G965" s="2" t="s">
        <v>550</v>
      </c>
      <c r="H965" s="2" t="s">
        <v>554</v>
      </c>
      <c r="I965" s="4">
        <v>1</v>
      </c>
      <c r="J965" s="5">
        <v>17500</v>
      </c>
      <c r="K965" s="5">
        <f>ROUND(IF(ISNUMBER(J965), I965*J965, I965),5)</f>
        <v>17500</v>
      </c>
    </row>
    <row r="966" spans="1:11" x14ac:dyDescent="0.3">
      <c r="A966" s="2" t="s">
        <v>11</v>
      </c>
      <c r="B966" s="3">
        <v>46106</v>
      </c>
      <c r="C966" s="2" t="s">
        <v>844</v>
      </c>
      <c r="D966" s="2" t="s">
        <v>318</v>
      </c>
      <c r="E966" s="2" t="s">
        <v>930</v>
      </c>
      <c r="F966" s="2" t="s">
        <v>542</v>
      </c>
      <c r="G966" s="2" t="s">
        <v>550</v>
      </c>
      <c r="H966" s="2" t="s">
        <v>554</v>
      </c>
      <c r="I966" s="4">
        <v>1</v>
      </c>
      <c r="J966" s="5">
        <v>11000</v>
      </c>
      <c r="K966" s="5">
        <f>ROUND(IF(ISNUMBER(J966), I966*J966, I966),5)</f>
        <v>11000</v>
      </c>
    </row>
    <row r="967" spans="1:11" x14ac:dyDescent="0.3">
      <c r="A967" s="2" t="s">
        <v>11</v>
      </c>
      <c r="B967" s="3">
        <v>46107</v>
      </c>
      <c r="C967" s="2" t="s">
        <v>845</v>
      </c>
      <c r="D967" s="2" t="s">
        <v>381</v>
      </c>
      <c r="E967" s="2" t="s">
        <v>513</v>
      </c>
      <c r="F967" s="2" t="s">
        <v>546</v>
      </c>
      <c r="G967" s="2" t="s">
        <v>549</v>
      </c>
      <c r="H967" s="2" t="s">
        <v>554</v>
      </c>
      <c r="I967" s="4">
        <v>20</v>
      </c>
      <c r="J967" s="5">
        <v>2360</v>
      </c>
      <c r="K967" s="5">
        <f>ROUND(IF(ISNUMBER(J967), I967*J967, I967),5)</f>
        <v>47200</v>
      </c>
    </row>
    <row r="968" spans="1:11" x14ac:dyDescent="0.3">
      <c r="A968" s="2" t="s">
        <v>11</v>
      </c>
      <c r="B968" s="3">
        <v>46108</v>
      </c>
      <c r="C968" s="2" t="s">
        <v>846</v>
      </c>
      <c r="D968" s="2" t="s">
        <v>426</v>
      </c>
      <c r="E968" s="2" t="s">
        <v>444</v>
      </c>
      <c r="F968" s="2" t="s">
        <v>519</v>
      </c>
      <c r="G968" s="2" t="s">
        <v>549</v>
      </c>
      <c r="H968" s="2" t="s">
        <v>553</v>
      </c>
      <c r="I968" s="4">
        <v>1</v>
      </c>
      <c r="J968" s="5">
        <v>267440</v>
      </c>
      <c r="K968" s="5">
        <f>ROUND(IF(ISNUMBER(J968), I968*J968, I968),5)</f>
        <v>267440</v>
      </c>
    </row>
    <row r="969" spans="1:11" x14ac:dyDescent="0.3">
      <c r="A969" s="2" t="s">
        <v>11</v>
      </c>
      <c r="B969" s="3">
        <v>46108</v>
      </c>
      <c r="C969" s="2" t="s">
        <v>846</v>
      </c>
      <c r="D969" s="2" t="s">
        <v>426</v>
      </c>
      <c r="E969" s="2" t="s">
        <v>442</v>
      </c>
      <c r="F969" s="2" t="s">
        <v>540</v>
      </c>
      <c r="G969" s="2" t="s">
        <v>549</v>
      </c>
      <c r="H969" s="2" t="s">
        <v>553</v>
      </c>
      <c r="I969" s="4">
        <v>2</v>
      </c>
      <c r="J969" s="5"/>
      <c r="K969" s="5"/>
    </row>
    <row r="970" spans="1:11" x14ac:dyDescent="0.3">
      <c r="A970" s="2" t="s">
        <v>11</v>
      </c>
      <c r="B970" s="3">
        <v>46108</v>
      </c>
      <c r="C970" s="2" t="s">
        <v>847</v>
      </c>
      <c r="D970" s="2" t="s">
        <v>340</v>
      </c>
      <c r="E970" s="2" t="s">
        <v>454</v>
      </c>
      <c r="F970" s="2" t="s">
        <v>543</v>
      </c>
      <c r="G970" s="2" t="s">
        <v>548</v>
      </c>
      <c r="H970" s="2" t="s">
        <v>553</v>
      </c>
      <c r="I970" s="4">
        <v>1</v>
      </c>
      <c r="J970" s="5">
        <v>213000</v>
      </c>
      <c r="K970" s="5">
        <f>ROUND(IF(ISNUMBER(J970), I970*J970, I970),5)</f>
        <v>213000</v>
      </c>
    </row>
    <row r="971" spans="1:11" x14ac:dyDescent="0.3">
      <c r="A971" s="2" t="s">
        <v>11</v>
      </c>
      <c r="B971" s="3">
        <v>46111</v>
      </c>
      <c r="C971" s="2" t="s">
        <v>848</v>
      </c>
      <c r="D971" s="2" t="s">
        <v>322</v>
      </c>
      <c r="E971" s="2" t="s">
        <v>500</v>
      </c>
      <c r="F971" s="2" t="s">
        <v>519</v>
      </c>
      <c r="G971" s="2" t="s">
        <v>548</v>
      </c>
      <c r="H971" s="2" t="s">
        <v>553</v>
      </c>
      <c r="I971" s="4">
        <v>1</v>
      </c>
      <c r="J971" s="5">
        <v>275000</v>
      </c>
      <c r="K971" s="5">
        <f>ROUND(IF(ISNUMBER(J971), I971*J971, I971),5)</f>
        <v>275000</v>
      </c>
    </row>
    <row r="972" spans="1:11" x14ac:dyDescent="0.3">
      <c r="A972" s="2" t="s">
        <v>11</v>
      </c>
      <c r="B972" s="3">
        <v>46111</v>
      </c>
      <c r="C972" s="2" t="s">
        <v>848</v>
      </c>
      <c r="D972" s="2" t="s">
        <v>322</v>
      </c>
      <c r="E972" s="2" t="s">
        <v>466</v>
      </c>
      <c r="F972" s="2" t="s">
        <v>540</v>
      </c>
      <c r="G972" s="2" t="s">
        <v>548</v>
      </c>
      <c r="H972" s="2" t="s">
        <v>553</v>
      </c>
      <c r="I972" s="4">
        <v>4</v>
      </c>
      <c r="J972" s="5">
        <v>75000</v>
      </c>
      <c r="K972" s="5">
        <f>ROUND(IF(ISNUMBER(J972), I972*J972, I972),5)</f>
        <v>300000</v>
      </c>
    </row>
    <row r="973" spans="1:11" x14ac:dyDescent="0.3">
      <c r="A973" s="2" t="s">
        <v>11</v>
      </c>
      <c r="B973" s="3">
        <v>46111</v>
      </c>
      <c r="C973" s="2" t="s">
        <v>849</v>
      </c>
      <c r="D973" s="2" t="s">
        <v>338</v>
      </c>
      <c r="E973" s="2" t="s">
        <v>452</v>
      </c>
      <c r="F973" s="2" t="s">
        <v>542</v>
      </c>
      <c r="G973" s="2" t="s">
        <v>550</v>
      </c>
      <c r="H973" s="2" t="s">
        <v>554</v>
      </c>
      <c r="I973" s="4">
        <v>5</v>
      </c>
      <c r="J973" s="5">
        <v>10600</v>
      </c>
      <c r="K973" s="5">
        <f>ROUND(IF(ISNUMBER(J973), I973*J973, I973),5)</f>
        <v>53000</v>
      </c>
    </row>
    <row r="974" spans="1:11" x14ac:dyDescent="0.3">
      <c r="A974" s="2" t="s">
        <v>11</v>
      </c>
      <c r="B974" s="3">
        <v>46111</v>
      </c>
      <c r="C974" s="2" t="s">
        <v>850</v>
      </c>
      <c r="D974" s="2" t="s">
        <v>390</v>
      </c>
      <c r="E974" s="2" t="s">
        <v>513</v>
      </c>
      <c r="F974" s="2" t="s">
        <v>546</v>
      </c>
      <c r="G974" s="2" t="s">
        <v>548</v>
      </c>
      <c r="H974" s="2" t="s">
        <v>553</v>
      </c>
      <c r="I974" s="4">
        <v>1</v>
      </c>
      <c r="J974" s="5">
        <v>70000</v>
      </c>
      <c r="K974" s="5">
        <f>ROUND(IF(ISNUMBER(J974), I974*J974, I974),5)</f>
        <v>70000</v>
      </c>
    </row>
    <row r="975" spans="1:11" x14ac:dyDescent="0.3">
      <c r="A975" s="2" t="s">
        <v>11</v>
      </c>
      <c r="B975" s="3">
        <v>46111</v>
      </c>
      <c r="C975" s="2" t="s">
        <v>851</v>
      </c>
      <c r="D975" s="2" t="s">
        <v>324</v>
      </c>
      <c r="E975" s="2" t="s">
        <v>451</v>
      </c>
      <c r="F975" s="2" t="s">
        <v>540</v>
      </c>
      <c r="G975" s="2" t="s">
        <v>550</v>
      </c>
      <c r="H975" s="2" t="s">
        <v>553</v>
      </c>
      <c r="I975" s="4">
        <v>2</v>
      </c>
      <c r="J975" s="5">
        <v>226500</v>
      </c>
      <c r="K975" s="5">
        <f>ROUND(IF(ISNUMBER(J975), I975*J975, I975),5)</f>
        <v>453000</v>
      </c>
    </row>
    <row r="976" spans="1:11" x14ac:dyDescent="0.3">
      <c r="A976" s="2" t="s">
        <v>11</v>
      </c>
      <c r="B976" s="3">
        <v>46111</v>
      </c>
      <c r="C976" s="2" t="s">
        <v>852</v>
      </c>
      <c r="D976" s="2" t="s">
        <v>411</v>
      </c>
      <c r="E976" s="2" t="s">
        <v>517</v>
      </c>
      <c r="F976" s="2" t="s">
        <v>519</v>
      </c>
      <c r="G976" s="2" t="s">
        <v>551</v>
      </c>
      <c r="H976" s="2" t="s">
        <v>553</v>
      </c>
      <c r="I976" s="4">
        <v>1</v>
      </c>
      <c r="J976" s="5">
        <v>173000</v>
      </c>
      <c r="K976" s="5">
        <f>ROUND(IF(ISNUMBER(J976), I976*J976, I976),5)</f>
        <v>173000</v>
      </c>
    </row>
    <row r="977" spans="1:11" x14ac:dyDescent="0.3">
      <c r="A977" s="2" t="s">
        <v>11</v>
      </c>
      <c r="B977" s="3">
        <v>46111</v>
      </c>
      <c r="C977" s="2" t="s">
        <v>853</v>
      </c>
      <c r="D977" s="2" t="s">
        <v>907</v>
      </c>
      <c r="E977" s="2" t="s">
        <v>457</v>
      </c>
      <c r="F977" s="2" t="s">
        <v>542</v>
      </c>
      <c r="G977" s="2" t="s">
        <v>551</v>
      </c>
      <c r="H977" s="2" t="s">
        <v>554</v>
      </c>
      <c r="I977" s="4">
        <v>1</v>
      </c>
      <c r="J977" s="5">
        <v>26550</v>
      </c>
      <c r="K977" s="5">
        <f>ROUND(IF(ISNUMBER(J977), I977*J977, I977),5)</f>
        <v>26550</v>
      </c>
    </row>
    <row r="978" spans="1:11" x14ac:dyDescent="0.3">
      <c r="A978" s="2" t="s">
        <v>11</v>
      </c>
      <c r="B978" s="3">
        <v>46111</v>
      </c>
      <c r="C978" s="2" t="s">
        <v>854</v>
      </c>
      <c r="D978" s="2" t="s">
        <v>326</v>
      </c>
      <c r="E978" s="2" t="s">
        <v>500</v>
      </c>
      <c r="F978" s="2" t="s">
        <v>519</v>
      </c>
      <c r="G978" s="2" t="s">
        <v>551</v>
      </c>
      <c r="H978" s="2" t="s">
        <v>553</v>
      </c>
      <c r="I978" s="4">
        <v>1</v>
      </c>
      <c r="J978" s="5">
        <v>211000</v>
      </c>
      <c r="K978" s="5">
        <f>ROUND(IF(ISNUMBER(J978), I978*J978, I978),5)</f>
        <v>211000</v>
      </c>
    </row>
    <row r="979" spans="1:11" x14ac:dyDescent="0.3">
      <c r="A979" s="2" t="s">
        <v>11</v>
      </c>
      <c r="B979" s="3">
        <v>46111</v>
      </c>
      <c r="C979" s="2" t="s">
        <v>854</v>
      </c>
      <c r="D979" s="2" t="s">
        <v>326</v>
      </c>
      <c r="E979" s="2" t="s">
        <v>912</v>
      </c>
      <c r="F979" s="2" t="s">
        <v>540</v>
      </c>
      <c r="G979" s="2" t="s">
        <v>551</v>
      </c>
      <c r="H979" s="2" t="s">
        <v>553</v>
      </c>
      <c r="I979" s="4">
        <v>2</v>
      </c>
      <c r="J979" s="5">
        <v>115000</v>
      </c>
      <c r="K979" s="5">
        <f>ROUND(IF(ISNUMBER(J979), I979*J979, I979),5)</f>
        <v>230000</v>
      </c>
    </row>
    <row r="980" spans="1:11" x14ac:dyDescent="0.3">
      <c r="A980" s="2" t="s">
        <v>11</v>
      </c>
      <c r="B980" s="3">
        <v>46111</v>
      </c>
      <c r="C980" s="2" t="s">
        <v>854</v>
      </c>
      <c r="D980" s="2" t="s">
        <v>326</v>
      </c>
      <c r="E980" s="2" t="s">
        <v>931</v>
      </c>
      <c r="F980" s="2" t="s">
        <v>503</v>
      </c>
      <c r="G980" s="2" t="s">
        <v>551</v>
      </c>
      <c r="H980" s="2" t="s">
        <v>553</v>
      </c>
      <c r="I980" s="4">
        <v>1</v>
      </c>
      <c r="J980" s="5"/>
      <c r="K980" s="5"/>
    </row>
    <row r="981" spans="1:11" x14ac:dyDescent="0.3">
      <c r="A981" s="2" t="s">
        <v>11</v>
      </c>
      <c r="B981" s="3">
        <v>46111</v>
      </c>
      <c r="C981" s="2" t="s">
        <v>855</v>
      </c>
      <c r="D981" s="2" t="s">
        <v>426</v>
      </c>
      <c r="E981" s="2" t="s">
        <v>511</v>
      </c>
      <c r="F981" s="2" t="s">
        <v>542</v>
      </c>
      <c r="G981" s="2" t="s">
        <v>549</v>
      </c>
      <c r="H981" s="2" t="s">
        <v>553</v>
      </c>
      <c r="I981" s="4">
        <v>3</v>
      </c>
      <c r="J981" s="5">
        <v>17650</v>
      </c>
      <c r="K981" s="5">
        <f>ROUND(IF(ISNUMBER(J981), I981*J981, I981),5)</f>
        <v>52950</v>
      </c>
    </row>
    <row r="982" spans="1:11" x14ac:dyDescent="0.3">
      <c r="A982" s="2" t="s">
        <v>11</v>
      </c>
      <c r="B982" s="3">
        <v>46111</v>
      </c>
      <c r="C982" s="2" t="s">
        <v>855</v>
      </c>
      <c r="D982" s="2" t="s">
        <v>426</v>
      </c>
      <c r="E982" s="2" t="s">
        <v>456</v>
      </c>
      <c r="F982" s="2" t="s">
        <v>542</v>
      </c>
      <c r="G982" s="2" t="s">
        <v>549</v>
      </c>
      <c r="H982" s="2" t="s">
        <v>553</v>
      </c>
      <c r="I982" s="4">
        <v>3</v>
      </c>
      <c r="J982" s="5">
        <v>13650</v>
      </c>
      <c r="K982" s="5">
        <f>ROUND(IF(ISNUMBER(J982), I982*J982, I982),5)</f>
        <v>40950</v>
      </c>
    </row>
    <row r="983" spans="1:11" x14ac:dyDescent="0.3">
      <c r="A983" s="2" t="s">
        <v>11</v>
      </c>
      <c r="B983" s="3">
        <v>46111</v>
      </c>
      <c r="C983" s="2" t="s">
        <v>856</v>
      </c>
      <c r="D983" s="2" t="s">
        <v>436</v>
      </c>
      <c r="E983" s="2" t="s">
        <v>486</v>
      </c>
      <c r="F983" s="2" t="s">
        <v>542</v>
      </c>
      <c r="G983" s="2" t="s">
        <v>550</v>
      </c>
      <c r="H983" s="2" t="s">
        <v>554</v>
      </c>
      <c r="I983" s="4">
        <v>1</v>
      </c>
      <c r="J983" s="5">
        <v>72500</v>
      </c>
      <c r="K983" s="5">
        <f>ROUND(IF(ISNUMBER(J983), I983*J983, I983),5)</f>
        <v>72500</v>
      </c>
    </row>
    <row r="984" spans="1:11" ht="15" thickBot="1" x14ac:dyDescent="0.35">
      <c r="A984" s="2" t="s">
        <v>11</v>
      </c>
      <c r="B984" s="3">
        <v>46112</v>
      </c>
      <c r="C984" s="2" t="s">
        <v>857</v>
      </c>
      <c r="D984" s="2" t="s">
        <v>908</v>
      </c>
      <c r="E984" s="2" t="s">
        <v>936</v>
      </c>
      <c r="F984" s="2" t="s">
        <v>543</v>
      </c>
      <c r="G984" s="2" t="s">
        <v>551</v>
      </c>
      <c r="H984" s="2" t="s">
        <v>553</v>
      </c>
      <c r="I984" s="4">
        <v>1</v>
      </c>
      <c r="J984" s="5">
        <v>3600</v>
      </c>
      <c r="K984" s="6">
        <f>ROUND(IF(ISNUMBER(J984), I984*J984, I984),5)</f>
        <v>3600</v>
      </c>
    </row>
    <row r="985" spans="1:11" s="11" customFormat="1" ht="10.8" thickBot="1" x14ac:dyDescent="0.25">
      <c r="A985" s="1"/>
      <c r="B985" s="7"/>
      <c r="C985" s="1"/>
      <c r="D985" s="1"/>
      <c r="E985" s="1"/>
      <c r="F985" s="1"/>
      <c r="G985" s="1"/>
      <c r="H985" s="1"/>
      <c r="I985" s="8"/>
      <c r="J985" s="9"/>
      <c r="K985" s="10">
        <f>ROUND(SUM(K2:K984),5)</f>
        <v>163448510.36700001</v>
      </c>
    </row>
    <row r="986" spans="1:11" ht="15" thickTop="1" x14ac:dyDescent="0.3"/>
  </sheetData>
  <pageMargins left="0.7" right="0.7" top="0.75" bottom="0.75" header="0.1" footer="0.3"/>
  <pageSetup orientation="portrait" r:id="rId1"/>
  <headerFooter>
    <oddHeader>&amp;L&amp;"Arial,Bold"&amp;8 12:39 PM
&amp;"Arial,Bold"&amp;8 05/07/26
&amp;"Arial,Bold"&amp;8 Accrual Basis&amp;C&amp;"Arial,Bold"&amp;12 Active Solutions
&amp;"Arial,Bold"&amp;14 Transaction Detail By Account
&amp;"Arial,Bold"&amp;10 April 2025 through March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QuickBooks Desktop Export Tips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Active Solutions O3654</dc:creator>
  <cp:lastModifiedBy>Active Solutions O3654</cp:lastModifiedBy>
  <dcterms:created xsi:type="dcterms:W3CDTF">2026-05-07T07:09:08Z</dcterms:created>
  <dcterms:modified xsi:type="dcterms:W3CDTF">2026-05-07T07:42:48Z</dcterms:modified>
</cp:coreProperties>
</file>